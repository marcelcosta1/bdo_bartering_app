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ermutinha2.0" sheetId="1" r:id="rId4"/>
    <sheet state="visible" name="Dashboard" sheetId="2" r:id="rId5"/>
    <sheet state="visible" name="Full Barter Stock" sheetId="3" r:id="rId6"/>
    <sheet state="hidden" name="Item List" sheetId="4" r:id="rId7"/>
    <sheet state="visible" name="Barter Item List Reference" sheetId="5" r:id="rId8"/>
    <sheet state="visible" name="Storage Data" sheetId="6" r:id="rId9"/>
    <sheet state="visible" name="Exported Data" sheetId="7" r:id="rId10"/>
  </sheets>
  <definedNames>
    <definedName hidden="1" localSheetId="3" name="_xlnm._FilterDatabase">'Item List'!$A$1:$B$136</definedName>
    <definedName hidden="1" localSheetId="6" name="_xlnm._FilterDatabase">'Exported Data'!$A$1:$B$128</definedName>
  </definedNames>
  <calcPr/>
  <extLst>
    <ext uri="GoogleSheetsCustomDataVersion2">
      <go:sheetsCustomData xmlns:go="http://customooxmlschemas.google.com/" r:id="rId11" roundtripDataChecksum="4SueMBBteJizJvEEaeBnV+uLITI3AmvijgDEvDkHXX0="/>
    </ext>
  </extLst>
</workbook>
</file>

<file path=xl/sharedStrings.xml><?xml version="1.0" encoding="utf-8"?>
<sst xmlns="http://schemas.openxmlformats.org/spreadsheetml/2006/main" count="761" uniqueCount="177">
  <si>
    <t>Poder de Barganha</t>
  </si>
  <si>
    <t>Trocas</t>
  </si>
  <si>
    <t>Full Barter Stock</t>
  </si>
  <si>
    <t>Tier 1</t>
  </si>
  <si>
    <t>[Level 2] Balanced Stone Pagoda</t>
  </si>
  <si>
    <t>Tier 2</t>
  </si>
  <si>
    <t>Tier 3</t>
  </si>
  <si>
    <t>Tier 4</t>
  </si>
  <si>
    <t>Tier 5</t>
  </si>
  <si>
    <t>Grana</t>
  </si>
  <si>
    <t>Nº de Trocas</t>
  </si>
  <si>
    <t>[Level 1] Unidentified Ancient Mural</t>
  </si>
  <si>
    <t>[Level 3] Blue Candle Bundle</t>
  </si>
  <si>
    <t>[Level 4] Pirate's Key</t>
  </si>
  <si>
    <t>[Level 5] Portrait of the Ancient</t>
  </si>
  <si>
    <t>[Level 1] Pirates' Gunpowder</t>
  </si>
  <si>
    <t>[Level 3] Ancient Orders</t>
  </si>
  <si>
    <t>[Level 4] Bronze Candlestick</t>
  </si>
  <si>
    <t>[Level 5] 102 Year Old Golden Herb</t>
  </si>
  <si>
    <t>Iliya</t>
  </si>
  <si>
    <t>Nº</t>
  </si>
  <si>
    <t>1x 2x ou 3x</t>
  </si>
  <si>
    <t>Peso</t>
  </si>
  <si>
    <t>[Level 1] Fertile Soil</t>
  </si>
  <si>
    <t>[Level 3] Lopters Fishnet</t>
  </si>
  <si>
    <t>[Level 4] Headless Dragon Figurine</t>
  </si>
  <si>
    <t>[Level 5] Golden Fish Scale</t>
  </si>
  <si>
    <t>Epheria</t>
  </si>
  <si>
    <t>T1</t>
  </si>
  <si>
    <t>[Level 1] Roa Flower Seed Pouch</t>
  </si>
  <si>
    <t>[Level 3] Rare Herb Pile</t>
  </si>
  <si>
    <t>[Level 4] Old Chest with Gold Coins</t>
  </si>
  <si>
    <t>[Level 5] Stuffed White Caterpillar</t>
  </si>
  <si>
    <t>Edania</t>
  </si>
  <si>
    <t>T2</t>
  </si>
  <si>
    <t>[Level 1] Golden Sand</t>
  </si>
  <si>
    <t>[Level 3] Skull Symbol Carpet</t>
  </si>
  <si>
    <t>[Level 4] Seashell Deco</t>
  </si>
  <si>
    <t>[Level 5] Faded Gold Dragon Figurine</t>
  </si>
  <si>
    <t>T3</t>
  </si>
  <si>
    <t>[Level 1] Cherry Tree Seed Pouch</t>
  </si>
  <si>
    <t>[Level 3] Weasel Leather Coat</t>
  </si>
  <si>
    <t>[Level 4] Boatman's Manual</t>
  </si>
  <si>
    <t>[Level 5] Supreme Gold Candlestick</t>
  </si>
  <si>
    <t>T4</t>
  </si>
  <si>
    <t>[Level 1] Ancient Urn Piece</t>
  </si>
  <si>
    <t>[Level 3] Gooey Monster Blood</t>
  </si>
  <si>
    <t>[Level 4] Green Salt Lump</t>
  </si>
  <si>
    <t>[Level 5] Statue's Tear</t>
  </si>
  <si>
    <t>Hakoven</t>
  </si>
  <si>
    <t>T5</t>
  </si>
  <si>
    <t>[Level 1] Chewy Raw Gizzard</t>
  </si>
  <si>
    <t>[Level 3] Round Knife</t>
  </si>
  <si>
    <t>[Level 4] Solidified Lava</t>
  </si>
  <si>
    <t>[Level 5] Stuffed Morpho Butterfly</t>
  </si>
  <si>
    <t>T6 e T7</t>
  </si>
  <si>
    <t>[Level 1] Raft Toy</t>
  </si>
  <si>
    <t>[Level 3] Skull Decorated Teacup</t>
  </si>
  <si>
    <t>[Level 4] Marine Knights' Spear</t>
  </si>
  <si>
    <t>[Level 5] Azure Quartz</t>
  </si>
  <si>
    <t>[Level 1] Stained Seagull Figurine</t>
  </si>
  <si>
    <t>[Level 3] Stalactite Fragment</t>
  </si>
  <si>
    <t>[Level 4] Amethyst Fragment</t>
  </si>
  <si>
    <t>[Level 5] Luxury Patterned Fabric</t>
  </si>
  <si>
    <t>[Level 1] Naval Ration</t>
  </si>
  <si>
    <t>[Level 3] Scout Binoculars</t>
  </si>
  <si>
    <t>[Level 4] Opulent Thread Spool</t>
  </si>
  <si>
    <t>[Level 5] Octagonal Box</t>
  </si>
  <si>
    <t>[Level 1] Giant Fish Bone</t>
  </si>
  <si>
    <t>[Level 3] Pirates' Supply Box</t>
  </si>
  <si>
    <t>[Level 4] Stolen Pirate Dagger</t>
  </si>
  <si>
    <t>[Level 5] Mysterious Rock</t>
  </si>
  <si>
    <t>[Level 1] Dried Blue Rose</t>
  </si>
  <si>
    <t>[Level 3] Torn Pirate Treasure Map</t>
  </si>
  <si>
    <t>[Level 4] Marine Knights' Helm</t>
  </si>
  <si>
    <t>[Level 5] Valencia Sand Shield</t>
  </si>
  <si>
    <t>Terra do Amanhecer</t>
  </si>
  <si>
    <t>Peso Base</t>
  </si>
  <si>
    <t>Peso Max</t>
  </si>
  <si>
    <t>[Level 3] Old Hourglass</t>
  </si>
  <si>
    <t>Peso Out</t>
  </si>
  <si>
    <t>Peso In</t>
  </si>
  <si>
    <t>this Sheet is linked to the Storage Manager Tab - it will inform you if you are low on any particular goods</t>
  </si>
  <si>
    <t>T1 less than 2 =</t>
  </si>
  <si>
    <t>T4 less than 6 =</t>
  </si>
  <si>
    <t>the Warning triggers at an amount lower to the max exchanges possible for the next Tier</t>
  </si>
  <si>
    <t>T2 less than 4 =</t>
  </si>
  <si>
    <t>T5 less than 5 =</t>
  </si>
  <si>
    <t>E.g.: at Tier 3 a warning will appear when below or at 6 Goods / at T1 it would be below or at 2 Goods</t>
  </si>
  <si>
    <t>T3 less than 6 =</t>
  </si>
  <si>
    <t>Show?</t>
  </si>
  <si>
    <t>T6?</t>
  </si>
  <si>
    <t>Custo</t>
  </si>
  <si>
    <t>Tier 6</t>
  </si>
  <si>
    <t>[Level 2] Islanders' Lunchbox</t>
  </si>
  <si>
    <t>[Level 6] Miniature Arehaza Lighthouse</t>
  </si>
  <si>
    <t>[Level 2] Monster Tentacle</t>
  </si>
  <si>
    <t>[Level 6] Golden Cactus Bouquet</t>
  </si>
  <si>
    <t>[Level 2] Filtered Drinking Water</t>
  </si>
  <si>
    <t>[Level 6] Forest Fairy Perfume</t>
  </si>
  <si>
    <t>[Level 2] Supreme Oyster Box</t>
  </si>
  <si>
    <t>[Level 6] Kamasylvian Sculpture</t>
  </si>
  <si>
    <t>[Level 2] Sea Survival Kit</t>
  </si>
  <si>
    <t>[Level 6] Moonlit Crystal Lamp</t>
  </si>
  <si>
    <t>[Level 2] Urchin Spine</t>
  </si>
  <si>
    <t>[Level 6] Mossy Silver Log Decoration</t>
  </si>
  <si>
    <t>[Level 2] Pirate Ship Mast</t>
  </si>
  <si>
    <t>[Level 6] Black Rose Bouquet</t>
  </si>
  <si>
    <t>[Level 6] Moonlit Crystal Shard</t>
  </si>
  <si>
    <t>[Level 2] Cron Castle Gold Coin</t>
  </si>
  <si>
    <t>[Level 6] Sharp Safflower Blade Crate</t>
  </si>
  <si>
    <t>[Level 2] Opulent Marble</t>
  </si>
  <si>
    <t>[Level 6] Moonshade Aged Wine</t>
  </si>
  <si>
    <t>[Level 2] Narvo Sea Cucumber</t>
  </si>
  <si>
    <t>[Level 6] Shadow Ornament Mirror</t>
  </si>
  <si>
    <t>[Level 2] Island Tree Coated Plywood</t>
  </si>
  <si>
    <t>[Level 6] Bamboo Sap Crate</t>
  </si>
  <si>
    <t>[Level 2] Conch Shell Ornament</t>
  </si>
  <si>
    <t>[Level 6] Nampo Persimmon Crate</t>
  </si>
  <si>
    <t>[Level 6] High-quality Ink-scented Box</t>
  </si>
  <si>
    <t>[Level 6] Hanji Country Wild Berry Crate</t>
  </si>
  <si>
    <t>[Level 6] Top-Quality Blue Underglaze Porcelain</t>
  </si>
  <si>
    <t>[Level 6] Top-Quality Gamtu Crate</t>
  </si>
  <si>
    <t>[Level 4] Panacea</t>
  </si>
  <si>
    <t>[Level 6] Brass Bowl Crate</t>
  </si>
  <si>
    <t>[Level 6] Valencia Sand Shield</t>
  </si>
  <si>
    <t>[Level 6] Valencian Desert Fine Sword</t>
  </si>
  <si>
    <t>[Level 6] Fancy Camel Hide</t>
  </si>
  <si>
    <t>[Level 6] Golden Sand Ring</t>
  </si>
  <si>
    <t>[Level 6] Top-Quality Coconut Syrup</t>
  </si>
  <si>
    <t>[Level 6] Traditional Arehazan Tea</t>
  </si>
  <si>
    <t>Tier 7</t>
  </si>
  <si>
    <t>[Level 7] Artisan's Seashell Necklace</t>
  </si>
  <si>
    <t>[Level 7] Balenosian Sailor's Telescope</t>
  </si>
  <si>
    <t>[Level 7] Balenos Whale Sculpture</t>
  </si>
  <si>
    <t>[Level 7] Balenos Salt Flower</t>
  </si>
  <si>
    <t>[Level 7] Balenos Starlight Salt</t>
  </si>
  <si>
    <t>[Level 7] Balenos Relic Fragment</t>
  </si>
  <si>
    <t>[Level 7] Balenos Rainbow Coral</t>
  </si>
  <si>
    <t>[Level 7] Rainbow Sea Crystal Piece</t>
  </si>
  <si>
    <t>[Level 7] Top-Quality Heidelian Wine</t>
  </si>
  <si>
    <t>[Level 7] Golden Flour Sack</t>
  </si>
  <si>
    <t>[Level 7] Organic Honey Crate</t>
  </si>
  <si>
    <t>[Level 7] Traditional Balenos Decorative Anchor</t>
  </si>
  <si>
    <t>[Level 7] Golden Eagle Brooch</t>
  </si>
  <si>
    <t>[Level 7] Calpheon Knights' Combat Manual</t>
  </si>
  <si>
    <t>[Level 7] Calpheon Golden Candle Stand</t>
  </si>
  <si>
    <t>[Level 7] Calpheonian Artisan's Pearl Necklace</t>
  </si>
  <si>
    <t>[Level 5] Elixir of Youth</t>
  </si>
  <si>
    <t>[Level 7] Sausan Military Supply</t>
  </si>
  <si>
    <t>[Level 7] Stonetail Carrot Healthy Food Crate</t>
  </si>
  <si>
    <t>[Level 7] Omar Lava Powder</t>
  </si>
  <si>
    <t>[Level 5] 37 Year Old Herbal Wine</t>
  </si>
  <si>
    <t>[Level 7] Tarif Magic Pot</t>
  </si>
  <si>
    <t>[Level 7] Rusalka's Thorny Bouquet</t>
  </si>
  <si>
    <t>[Level 7] Sturdy Caphras Timber</t>
  </si>
  <si>
    <t>[Level 7] Top-Quality Hakinza Perfume</t>
  </si>
  <si>
    <t>[Level 7] Throne of Edana Records</t>
  </si>
  <si>
    <t>Icon</t>
  </si>
  <si>
    <t>Sea Trade Good</t>
  </si>
  <si>
    <t>Rock Salt Ingot</t>
  </si>
  <si>
    <t>Island Tree Coated Plywood</t>
  </si>
  <si>
    <t>[Level 2] Pirate Gold Coin</t>
  </si>
  <si>
    <t>[Level 2] Big Stone Slab</t>
  </si>
  <si>
    <t>[Level 6] Top-Quality Blue Underglaze Porcelain Crate</t>
  </si>
  <si>
    <t>[Level 7] Calpheonian Artisan's Pearl Necklaceac</t>
  </si>
  <si>
    <t>Quantity</t>
  </si>
  <si>
    <t>[Level 5] Taxidermied White Caterpillar</t>
  </si>
  <si>
    <t>[Level 5] Taxidermied Morpho Butterfly</t>
  </si>
  <si>
    <t>Level 1 Items</t>
  </si>
  <si>
    <t>Level 2 Items</t>
  </si>
  <si>
    <t>[Level 2] Rock Salt Ingot</t>
  </si>
  <si>
    <t>Level 3 Items</t>
  </si>
  <si>
    <t>Level 4 Items</t>
  </si>
  <si>
    <t>Level 5 Items</t>
  </si>
  <si>
    <t>Level 6 Items</t>
  </si>
  <si>
    <t>Level 7 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</si>
</sst>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1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Arial"/>
    </font>
    <font>
      <color theme="0"/>
      <name val="Arial"/>
    </font>
    <font>
      <b/>
      <color rgb="FFFFFFFF"/>
      <name val="Arial"/>
    </font>
    <font>
      <sz val="14.0"/>
      <color theme="1"/>
      <name val="Arial"/>
    </font>
    <font>
      <sz val="14.0"/>
      <color rgb="FF93C47D"/>
      <name val="Arial"/>
    </font>
    <font>
      <color rgb="FFFFFFFF"/>
      <name val="Arial"/>
    </font>
    <font>
      <color theme="1"/>
      <name val="Arial"/>
    </font>
    <font>
      <color rgb="FF434343"/>
      <name val="Arial"/>
    </font>
    <font>
      <b/>
      <sz val="12.0"/>
      <color theme="1"/>
      <name val="Arial"/>
    </font>
    <font>
      <sz val="15.0"/>
      <color rgb="FFFFFFFF"/>
      <name val="Arial"/>
    </font>
    <font/>
    <font>
      <sz val="10.0"/>
      <color theme="1"/>
      <name val="Arial"/>
    </font>
    <font>
      <sz val="16.0"/>
      <color theme="1"/>
      <name val="Arial"/>
    </font>
    <font>
      <b/>
      <sz val="16.0"/>
      <color rgb="FF1155CC"/>
      <name val="Inconsolata"/>
    </font>
    <font>
      <sz val="18.0"/>
      <color theme="1"/>
      <name val="Arial"/>
    </font>
    <font>
      <sz val="12.0"/>
      <color rgb="FFFFFFFF"/>
      <name val="Arial"/>
    </font>
    <font>
      <i/>
      <color rgb="FFFFFFFF"/>
      <name val="Calibri"/>
    </font>
    <font>
      <sz val="9.0"/>
      <color theme="1"/>
      <name val="Arial"/>
    </font>
    <font>
      <b/>
      <sz val="14.0"/>
      <color theme="1"/>
      <name val="Arial"/>
    </font>
    <font>
      <sz val="15.0"/>
      <color theme="1"/>
      <name val="Arial"/>
    </font>
    <font>
      <b/>
      <sz val="15.0"/>
      <color rgb="FFFFFFFF"/>
      <name val="Arial"/>
    </font>
    <font>
      <b/>
      <sz val="12.0"/>
      <color rgb="FFFFFFFF"/>
      <name val="Arial"/>
    </font>
    <font>
      <b/>
      <color rgb="FF000000"/>
      <name val="StrongSword_New"/>
    </font>
    <font>
      <sz val="11.0"/>
      <color rgb="FF000000"/>
      <name val="StrongSword_New"/>
    </font>
    <font>
      <sz val="11.0"/>
      <color rgb="FF3D3D3D"/>
      <name val="StrongSword_New"/>
    </font>
    <font>
      <color rgb="FF000000"/>
      <name val="Arial"/>
    </font>
    <font>
      <b/>
      <sz val="11.0"/>
      <color rgb="FF3D3D3D"/>
      <name val="StrongSword_New"/>
    </font>
    <font>
      <color rgb="FF1F1F1F"/>
      <name val="Google Sans"/>
    </font>
    <font>
      <b/>
      <color rgb="FF1F1F1F"/>
      <name val="Google Sans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3EAA48"/>
        <bgColor rgb="FF3EAA48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CC4125"/>
        <bgColor rgb="FFCC4125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85200C"/>
        <bgColor rgb="FF85200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A4C2F4"/>
        <bgColor rgb="FFA4C2F4"/>
      </patternFill>
    </fill>
    <fill>
      <patternFill patternType="solid">
        <fgColor rgb="FFF4C7C3"/>
        <bgColor rgb="FFF4C7C3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A61C00"/>
        <bgColor rgb="FFA61C00"/>
      </patternFill>
    </fill>
    <fill>
      <patternFill patternType="solid">
        <fgColor rgb="FF351C75"/>
        <bgColor rgb="FF351C75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0" fillId="3" fontId="3" numFmtId="0" xfId="0" applyAlignment="1" applyFill="1" applyFont="1">
      <alignment horizontal="center" vertical="center"/>
    </xf>
    <xf borderId="0" fillId="3" fontId="4" numFmtId="0" xfId="0" applyAlignment="1" applyFont="1">
      <alignment horizontal="center" vertical="center"/>
    </xf>
    <xf borderId="1" fillId="0" fontId="5" numFmtId="3" xfId="0" applyAlignment="1" applyBorder="1" applyFont="1" applyNumberFormat="1">
      <alignment horizontal="center" shrinkToFit="0" wrapText="0"/>
    </xf>
    <xf borderId="1" fillId="0" fontId="6" numFmtId="164" xfId="0" applyAlignment="1" applyBorder="1" applyFont="1" applyNumberFormat="1">
      <alignment horizontal="center" shrinkToFit="0" wrapText="0"/>
    </xf>
    <xf borderId="0" fillId="3" fontId="7" numFmtId="0" xfId="0" applyAlignment="1" applyFont="1">
      <alignment horizontal="center" vertical="center"/>
    </xf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4" fontId="10" numFmtId="0" xfId="0" applyAlignment="1" applyFill="1" applyFont="1">
      <alignment horizontal="center" vertical="center"/>
    </xf>
    <xf borderId="0" fillId="4" fontId="8" numFmtId="0" xfId="0" applyAlignment="1" applyFont="1">
      <alignment vertical="center"/>
    </xf>
    <xf borderId="0" fillId="3" fontId="8" numFmtId="0" xfId="0" applyAlignment="1" applyFont="1">
      <alignment vertical="center"/>
    </xf>
    <xf borderId="0" fillId="5" fontId="10" numFmtId="0" xfId="0" applyAlignment="1" applyFill="1" applyFont="1">
      <alignment horizontal="center" vertical="center"/>
    </xf>
    <xf borderId="0" fillId="5" fontId="8" numFmtId="0" xfId="0" applyAlignment="1" applyFont="1">
      <alignment vertical="center"/>
    </xf>
    <xf borderId="0" fillId="6" fontId="10" numFmtId="0" xfId="0" applyAlignment="1" applyFill="1" applyFont="1">
      <alignment horizontal="center" vertical="center"/>
    </xf>
    <xf borderId="0" fillId="6" fontId="8" numFmtId="0" xfId="0" applyAlignment="1" applyFont="1">
      <alignment vertical="center"/>
    </xf>
    <xf borderId="0" fillId="3" fontId="9" numFmtId="0" xfId="0" applyAlignment="1" applyFont="1">
      <alignment vertical="center"/>
    </xf>
    <xf borderId="0" fillId="7" fontId="10" numFmtId="0" xfId="0" applyAlignment="1" applyFill="1" applyFont="1">
      <alignment horizontal="center" vertical="center"/>
    </xf>
    <xf borderId="0" fillId="7" fontId="8" numFmtId="0" xfId="0" applyAlignment="1" applyFont="1">
      <alignment vertical="center"/>
    </xf>
    <xf borderId="0" fillId="8" fontId="10" numFmtId="0" xfId="0" applyAlignment="1" applyFill="1" applyFont="1">
      <alignment horizontal="center" vertical="center"/>
    </xf>
    <xf borderId="0" fillId="8" fontId="8" numFmtId="0" xfId="0" applyAlignment="1" applyFont="1">
      <alignment vertical="bottom"/>
    </xf>
    <xf borderId="2" fillId="3" fontId="11" numFmtId="0" xfId="0" applyAlignment="1" applyBorder="1" applyFont="1">
      <alignment horizontal="center" vertical="center"/>
    </xf>
    <xf borderId="3" fillId="0" fontId="12" numFmtId="0" xfId="0" applyBorder="1" applyFont="1"/>
    <xf borderId="4" fillId="0" fontId="12" numFmtId="0" xfId="0" applyBorder="1" applyFont="1"/>
    <xf borderId="1" fillId="0" fontId="1" numFmtId="0" xfId="0" applyAlignment="1" applyBorder="1" applyFont="1">
      <alignment horizontal="center" vertical="center"/>
    </xf>
    <xf borderId="0" fillId="9" fontId="13" numFmtId="0" xfId="0" applyAlignment="1" applyFill="1" applyFont="1">
      <alignment vertical="center"/>
    </xf>
    <xf borderId="0" fillId="10" fontId="1" numFmtId="0" xfId="0" applyAlignment="1" applyFill="1" applyFont="1">
      <alignment horizontal="center" vertical="center"/>
    </xf>
    <xf borderId="5" fillId="0" fontId="12" numFmtId="0" xfId="0" applyBorder="1" applyFont="1"/>
    <xf borderId="6" fillId="0" fontId="12" numFmtId="0" xfId="0" applyBorder="1" applyFont="1"/>
    <xf borderId="7" fillId="0" fontId="12" numFmtId="0" xfId="0" applyBorder="1" applyFont="1"/>
    <xf borderId="1" fillId="0" fontId="14" numFmtId="3" xfId="0" applyAlignment="1" applyBorder="1" applyFont="1" applyNumberFormat="1">
      <alignment horizontal="center" shrinkToFit="0" wrapText="0"/>
    </xf>
    <xf borderId="1" fillId="2" fontId="15" numFmtId="3" xfId="0" applyAlignment="1" applyBorder="1" applyFont="1" applyNumberFormat="1">
      <alignment horizontal="center"/>
    </xf>
    <xf borderId="0" fillId="11" fontId="16" numFmtId="0" xfId="0" applyAlignment="1" applyFill="1" applyFont="1">
      <alignment horizontal="center" vertical="center"/>
    </xf>
    <xf borderId="0" fillId="8" fontId="16" numFmtId="0" xfId="0" applyAlignment="1" applyFont="1">
      <alignment horizontal="center" vertical="center"/>
    </xf>
    <xf borderId="0" fillId="3" fontId="8" numFmtId="0" xfId="0" applyFont="1"/>
    <xf borderId="8" fillId="3" fontId="17" numFmtId="0" xfId="0" applyAlignment="1" applyBorder="1" applyFont="1">
      <alignment horizontal="center" vertical="center"/>
    </xf>
    <xf borderId="9" fillId="0" fontId="12" numFmtId="0" xfId="0" applyBorder="1" applyFont="1"/>
    <xf borderId="10" fillId="0" fontId="12" numFmtId="0" xfId="0" applyBorder="1" applyFont="1"/>
    <xf borderId="0" fillId="3" fontId="8" numFmtId="3" xfId="0" applyAlignment="1" applyFont="1" applyNumberFormat="1">
      <alignment vertical="bottom"/>
    </xf>
    <xf borderId="0" fillId="3" fontId="18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12" fontId="8" numFmtId="0" xfId="0" applyAlignment="1" applyFill="1" applyFont="1">
      <alignment vertical="bottom"/>
    </xf>
    <xf borderId="0" fillId="13" fontId="8" numFmtId="0" xfId="0" applyAlignment="1" applyFill="1" applyFont="1">
      <alignment vertical="bottom"/>
    </xf>
    <xf borderId="0" fillId="14" fontId="8" numFmtId="0" xfId="0" applyAlignment="1" applyFill="1" applyFont="1">
      <alignment vertical="bottom"/>
    </xf>
    <xf borderId="0" fillId="15" fontId="8" numFmtId="0" xfId="0" applyAlignment="1" applyFill="1" applyFont="1">
      <alignment vertical="bottom"/>
    </xf>
    <xf borderId="0" fillId="16" fontId="8" numFmtId="0" xfId="0" applyAlignment="1" applyFill="1" applyFont="1">
      <alignment vertical="bottom"/>
    </xf>
    <xf borderId="0" fillId="17" fontId="19" numFmtId="0" xfId="0" applyAlignment="1" applyFill="1" applyFont="1">
      <alignment horizontal="center" vertical="center"/>
    </xf>
    <xf borderId="0" fillId="18" fontId="8" numFmtId="0" xfId="0" applyAlignment="1" applyFill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0" fillId="3" fontId="21" numFmtId="0" xfId="0" applyAlignment="1" applyFont="1">
      <alignment horizontal="center" vertical="center"/>
    </xf>
    <xf borderId="0" fillId="3" fontId="16" numFmtId="0" xfId="0" applyAlignment="1" applyFont="1">
      <alignment horizontal="center" vertical="center"/>
    </xf>
    <xf borderId="0" fillId="3" fontId="22" numFmtId="0" xfId="0" applyAlignment="1" applyFont="1">
      <alignment horizontal="center" vertical="center"/>
    </xf>
    <xf borderId="0" fillId="19" fontId="23" numFmtId="0" xfId="0" applyAlignment="1" applyFill="1" applyFont="1">
      <alignment horizontal="center"/>
    </xf>
    <xf borderId="0" fillId="19" fontId="10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3" fontId="9" numFmtId="0" xfId="0" applyAlignment="1" applyFont="1">
      <alignment horizontal="center" vertical="center"/>
    </xf>
    <xf borderId="0" fillId="20" fontId="23" numFmtId="0" xfId="0" applyAlignment="1" applyFill="1" applyFont="1">
      <alignment horizontal="center"/>
    </xf>
    <xf borderId="0" fillId="2" fontId="24" numFmtId="0" xfId="0" applyAlignment="1" applyFont="1">
      <alignment horizontal="center" shrinkToFit="0" wrapText="1"/>
    </xf>
    <xf borderId="0" fillId="2" fontId="25" numFmtId="0" xfId="0" applyAlignment="1" applyFont="1">
      <alignment horizontal="center" shrinkToFit="0" wrapText="1"/>
    </xf>
    <xf borderId="0" fillId="2" fontId="26" numFmtId="0" xfId="0" applyAlignment="1" applyFont="1">
      <alignment horizontal="center"/>
    </xf>
    <xf borderId="0" fillId="2" fontId="2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2" fontId="28" numFmtId="0" xfId="0" applyAlignment="1" applyFont="1">
      <alignment horizontal="center"/>
    </xf>
    <xf borderId="0" fillId="0" fontId="8" numFmtId="0" xfId="0" applyFont="1"/>
    <xf borderId="0" fillId="0" fontId="29" numFmtId="0" xfId="0" applyFont="1"/>
    <xf borderId="0" fillId="0" fontId="30" numFmtId="0" xfId="0" applyFont="1"/>
  </cellXfs>
  <cellStyles count="1">
    <cellStyle xfId="0" name="Normal" builtinId="0"/>
  </cellStyles>
  <dxfs count="6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13" Type="http://schemas.openxmlformats.org/officeDocument/2006/relationships/image" Target="../media/image15.png"/><Relationship Id="rId12" Type="http://schemas.openxmlformats.org/officeDocument/2006/relationships/image" Target="../media/image5.png"/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9" Type="http://schemas.openxmlformats.org/officeDocument/2006/relationships/image" Target="../media/image3.png"/><Relationship Id="rId14" Type="http://schemas.openxmlformats.org/officeDocument/2006/relationships/image" Target="../media/image4.png"/><Relationship Id="rId5" Type="http://schemas.openxmlformats.org/officeDocument/2006/relationships/image" Target="../media/image10.png"/><Relationship Id="rId6" Type="http://schemas.openxmlformats.org/officeDocument/2006/relationships/image" Target="../media/image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16</xdr:row>
      <xdr:rowOff>0</xdr:rowOff>
    </xdr:from>
    <xdr:ext cx="247650" cy="2476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16</xdr:row>
      <xdr:rowOff>0</xdr:rowOff>
    </xdr:from>
    <xdr:ext cx="247650" cy="2476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28625" cy="4286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428625" cy="42862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428625" cy="4286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21</xdr:row>
      <xdr:rowOff>0</xdr:rowOff>
    </xdr:from>
    <xdr:ext cx="428625" cy="4286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21</xdr:row>
      <xdr:rowOff>0</xdr:rowOff>
    </xdr:from>
    <xdr:ext cx="428625" cy="4286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28625" cy="4286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428625" cy="4286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428625" cy="42862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22</xdr:row>
      <xdr:rowOff>0</xdr:rowOff>
    </xdr:from>
    <xdr:ext cx="428625" cy="4286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22</xdr:row>
      <xdr:rowOff>0</xdr:rowOff>
    </xdr:from>
    <xdr:ext cx="428625" cy="42862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28625" cy="4286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428625" cy="428625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428625" cy="428625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23</xdr:row>
      <xdr:rowOff>0</xdr:rowOff>
    </xdr:from>
    <xdr:ext cx="428625" cy="42862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135</xdr:row>
      <xdr:rowOff>0</xdr:rowOff>
    </xdr:from>
    <xdr:ext cx="533400" cy="5334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9.0"/>
    <col customWidth="1" min="4" max="4" width="7.13"/>
    <col customWidth="1" min="5" max="5" width="4.88"/>
    <col customWidth="1" min="6" max="6" width="28.25"/>
    <col customWidth="1" min="7" max="7" width="5.63"/>
    <col customWidth="1" min="8" max="8" width="3.88"/>
    <col customWidth="1" min="9" max="9" width="4.25"/>
    <col customWidth="1" min="10" max="10" width="30.0"/>
    <col customWidth="1" min="11" max="11" width="5.63"/>
    <col customWidth="1" min="12" max="13" width="3.88"/>
    <col customWidth="1" min="14" max="14" width="29.0"/>
    <col customWidth="1" min="15" max="15" width="5.63"/>
    <col customWidth="1" min="16" max="17" width="3.88"/>
    <col customWidth="1" min="18" max="18" width="32.5"/>
    <col customWidth="1" min="19" max="19" width="5.63"/>
    <col customWidth="1" min="20" max="21" width="3.88"/>
    <col customWidth="1" min="22" max="22" width="30.63"/>
    <col customWidth="1" min="23" max="23" width="5.63"/>
    <col customWidth="1" min="24" max="35" width="3.88"/>
  </cols>
  <sheetData>
    <row r="1" ht="15.75" customHeight="1">
      <c r="A1" s="1" t="s">
        <v>0</v>
      </c>
      <c r="B1" s="2" t="s">
        <v>1</v>
      </c>
      <c r="C1" s="3"/>
      <c r="D1" s="4" t="s">
        <v>2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15.75" customHeight="1">
      <c r="A2" s="5">
        <v>81593.0</v>
      </c>
      <c r="B2" s="6">
        <f>DIVIDE(A2,A24)</f>
        <v>9.374195772</v>
      </c>
      <c r="C2" s="7"/>
      <c r="D2" s="8"/>
      <c r="E2" s="9"/>
      <c r="F2" s="10" t="s">
        <v>3</v>
      </c>
      <c r="G2" s="11"/>
      <c r="H2" s="12"/>
      <c r="I2" s="9" t="s">
        <v>4</v>
      </c>
      <c r="J2" s="13" t="s">
        <v>5</v>
      </c>
      <c r="K2" s="14"/>
      <c r="L2" s="12"/>
      <c r="M2" s="12"/>
      <c r="N2" s="15" t="s">
        <v>6</v>
      </c>
      <c r="O2" s="16"/>
      <c r="P2" s="12"/>
      <c r="Q2" s="17"/>
      <c r="R2" s="18" t="s">
        <v>7</v>
      </c>
      <c r="S2" s="19"/>
      <c r="T2" s="12"/>
      <c r="U2" s="17"/>
      <c r="V2" s="20" t="s">
        <v>8</v>
      </c>
      <c r="W2" s="21"/>
      <c r="X2" s="8"/>
      <c r="Y2" s="8"/>
      <c r="Z2" s="22" t="s">
        <v>9</v>
      </c>
      <c r="AA2" s="23"/>
      <c r="AB2" s="23"/>
      <c r="AC2" s="23"/>
      <c r="AD2" s="23"/>
      <c r="AE2" s="23"/>
      <c r="AF2" s="23"/>
      <c r="AG2" s="23"/>
      <c r="AH2" s="23"/>
      <c r="AI2" s="24"/>
    </row>
    <row r="3" ht="15.75" customHeight="1">
      <c r="A3" s="25" t="s">
        <v>10</v>
      </c>
      <c r="B3" s="2" t="s">
        <v>1</v>
      </c>
      <c r="C3" s="3"/>
      <c r="D3" s="8"/>
      <c r="E3" s="9" t="s">
        <v>11</v>
      </c>
      <c r="F3" s="26" t="str">
        <f t="shared" ref="F3:F16" si="1">E3</f>
        <v>[Level 1] Unidentified Ancient Mural</v>
      </c>
      <c r="G3" s="27">
        <f t="array" ref="G3">XLOOKUP(F3,'Exported Data'!A:A,'Exported Data'!B:B)</f>
        <v>12</v>
      </c>
      <c r="H3" s="8"/>
      <c r="I3" s="9" t="str">
        <f>'Exported Data'!A17</f>
        <v>[Level 2] Islanders' Lunchbox</v>
      </c>
      <c r="J3" s="26" t="str">
        <f t="shared" ref="J3:J16" si="2">I3</f>
        <v>[Level 2] Islanders' Lunchbox</v>
      </c>
      <c r="K3" s="27">
        <f t="array" ref="K3">XLOOKUP(J3,'Exported Data'!$A:$A,'Exported Data'!$B:$B)</f>
        <v>57</v>
      </c>
      <c r="L3" s="8"/>
      <c r="M3" s="17" t="s">
        <v>12</v>
      </c>
      <c r="N3" s="26" t="str">
        <f t="shared" ref="N3:N16" si="3">M3</f>
        <v>[Level 3] Blue Candle Bundle</v>
      </c>
      <c r="O3" s="27">
        <f t="array" ref="O3">XLOOKUP(N3,'Exported Data'!$A:$A,'Exported Data'!$B:$B)</f>
        <v>34</v>
      </c>
      <c r="P3" s="8"/>
      <c r="Q3" s="17" t="s">
        <v>13</v>
      </c>
      <c r="R3" s="26" t="str">
        <f t="shared" ref="R3:R16" si="4">Q3</f>
        <v>[Level 4] Pirate's Key</v>
      </c>
      <c r="S3" s="27">
        <f t="array" ref="S3">XLOOKUP(R3,'Exported Data'!$A:$A,'Exported Data'!$B:$B)</f>
        <v>26</v>
      </c>
      <c r="T3" s="8"/>
      <c r="U3" s="17" t="s">
        <v>14</v>
      </c>
      <c r="V3" s="26" t="str">
        <f t="shared" ref="V3:V16" si="5">U3</f>
        <v>[Level 5] Portrait of the Ancient</v>
      </c>
      <c r="W3" s="27">
        <f t="array" ref="W3">XLOOKUP(V3,'Exported Data'!$A:$A,'Exported Data'!$B:$B)</f>
        <v>3</v>
      </c>
      <c r="X3" s="8"/>
      <c r="Y3" s="8"/>
      <c r="Z3" s="28"/>
      <c r="AA3" s="29"/>
      <c r="AB3" s="29"/>
      <c r="AC3" s="29"/>
      <c r="AD3" s="29"/>
      <c r="AE3" s="29"/>
      <c r="AF3" s="29"/>
      <c r="AG3" s="29"/>
      <c r="AH3" s="29"/>
      <c r="AI3" s="30"/>
    </row>
    <row r="4" ht="15.75" customHeight="1">
      <c r="A4" s="31">
        <v>9.0</v>
      </c>
      <c r="B4" s="32">
        <f>PRODUCT(A4,A24)</f>
        <v>78336</v>
      </c>
      <c r="C4" s="3"/>
      <c r="D4" s="8"/>
      <c r="E4" s="9" t="s">
        <v>15</v>
      </c>
      <c r="F4" s="26" t="str">
        <f t="shared" si="1"/>
        <v>[Level 1] Pirates' Gunpowder</v>
      </c>
      <c r="G4" s="27">
        <f t="array" ref="G4">XLOOKUP(F4,'Exported Data'!A:A,'Exported Data'!B:B)</f>
        <v>11</v>
      </c>
      <c r="H4" s="8"/>
      <c r="I4" s="9" t="str">
        <f>'Exported Data'!A18</f>
        <v>[Level 2] Monster Tentacle</v>
      </c>
      <c r="J4" s="26" t="str">
        <f t="shared" si="2"/>
        <v>[Level 2] Monster Tentacle</v>
      </c>
      <c r="K4" s="27">
        <f t="array" ref="K4">XLOOKUP(J4,'Exported Data'!A:A,'Exported Data'!B:B)</f>
        <v>32</v>
      </c>
      <c r="L4" s="8"/>
      <c r="M4" s="17" t="s">
        <v>16</v>
      </c>
      <c r="N4" s="26" t="str">
        <f t="shared" si="3"/>
        <v>[Level 3] Ancient Orders</v>
      </c>
      <c r="O4" s="27">
        <f t="array" ref="O4">XLOOKUP(N4,'Exported Data'!$A:$A,'Exported Data'!$B:$B)</f>
        <v>28</v>
      </c>
      <c r="P4" s="8"/>
      <c r="Q4" s="17" t="s">
        <v>17</v>
      </c>
      <c r="R4" s="26" t="str">
        <f t="shared" si="4"/>
        <v>[Level 4] Bronze Candlestick</v>
      </c>
      <c r="S4" s="27">
        <f t="array" ref="S4">XLOOKUP(R4,'Exported Data'!$A:$A,'Exported Data'!$B:$B)</f>
        <v>4</v>
      </c>
      <c r="T4" s="8"/>
      <c r="U4" s="17" t="s">
        <v>18</v>
      </c>
      <c r="V4" s="26" t="str">
        <f t="shared" si="5"/>
        <v>[Level 5] 102 Year Old Golden Herb</v>
      </c>
      <c r="W4" s="27">
        <f t="array" ref="W4">XLOOKUP(V4,'Exported Data'!$A:$A,'Exported Data'!$B:$B)</f>
        <v>6</v>
      </c>
      <c r="X4" s="8"/>
      <c r="Y4" s="8"/>
      <c r="Z4" s="33"/>
      <c r="AC4" s="34"/>
      <c r="AF4" s="35" t="b">
        <v>1</v>
      </c>
      <c r="AG4" s="36" t="s">
        <v>19</v>
      </c>
      <c r="AH4" s="37"/>
      <c r="AI4" s="38"/>
    </row>
    <row r="5" ht="15.75" customHeight="1">
      <c r="A5" s="35"/>
      <c r="B5" s="7" t="s">
        <v>20</v>
      </c>
      <c r="C5" s="7" t="s">
        <v>21</v>
      </c>
      <c r="D5" s="7" t="s">
        <v>22</v>
      </c>
      <c r="E5" s="9" t="s">
        <v>23</v>
      </c>
      <c r="F5" s="26" t="str">
        <f t="shared" si="1"/>
        <v>[Level 1] Fertile Soil</v>
      </c>
      <c r="G5" s="27">
        <f t="array" ref="G5">XLOOKUP(F5,'Exported Data'!A:A,'Exported Data'!B:B)</f>
        <v>1</v>
      </c>
      <c r="H5" s="8"/>
      <c r="I5" s="9" t="str">
        <f>'Exported Data'!A19</f>
        <v>[Level 2] Filtered Drinking Water</v>
      </c>
      <c r="J5" s="26" t="str">
        <f t="shared" si="2"/>
        <v>[Level 2] Filtered Drinking Water</v>
      </c>
      <c r="K5" s="27">
        <f t="array" ref="K5">XLOOKUP(J5,'Exported Data'!A:A,'Exported Data'!B:B)</f>
        <v>81</v>
      </c>
      <c r="L5" s="8"/>
      <c r="M5" s="17" t="s">
        <v>24</v>
      </c>
      <c r="N5" s="26" t="str">
        <f t="shared" si="3"/>
        <v>[Level 3] Lopters Fishnet</v>
      </c>
      <c r="O5" s="27">
        <f t="array" ref="O5">XLOOKUP(N5,'Exported Data'!$A:$A,'Exported Data'!$B:$B)</f>
        <v>72</v>
      </c>
      <c r="P5" s="8"/>
      <c r="Q5" s="17" t="s">
        <v>25</v>
      </c>
      <c r="R5" s="26" t="str">
        <f t="shared" si="4"/>
        <v>[Level 4] Headless Dragon Figurine</v>
      </c>
      <c r="S5" s="27">
        <f t="array" ref="S5">XLOOKUP(R5,'Exported Data'!$A:$A,'Exported Data'!$B:$B)</f>
        <v>26</v>
      </c>
      <c r="T5" s="8"/>
      <c r="U5" s="17" t="s">
        <v>26</v>
      </c>
      <c r="V5" s="26" t="str">
        <f t="shared" si="5"/>
        <v>[Level 5] Golden Fish Scale</v>
      </c>
      <c r="W5" s="27">
        <f t="array" ref="W5">XLOOKUP(V5,'Exported Data'!$A:$A,'Exported Data'!$B:$B)</f>
        <v>10</v>
      </c>
      <c r="X5" s="8"/>
      <c r="Y5" s="8"/>
      <c r="AF5" s="35" t="b">
        <v>0</v>
      </c>
      <c r="AG5" s="36" t="s">
        <v>27</v>
      </c>
      <c r="AH5" s="37"/>
      <c r="AI5" s="38"/>
    </row>
    <row r="6" ht="15.75" customHeight="1">
      <c r="A6" s="3" t="s">
        <v>28</v>
      </c>
      <c r="B6" s="7"/>
      <c r="C6" s="7">
        <v>3.0</v>
      </c>
      <c r="D6" s="7">
        <v>100.0</v>
      </c>
      <c r="E6" s="9" t="s">
        <v>29</v>
      </c>
      <c r="F6" s="26" t="str">
        <f t="shared" si="1"/>
        <v>[Level 1] Roa Flower Seed Pouch</v>
      </c>
      <c r="G6" s="27">
        <f t="array" ref="G6">XLOOKUP(F6,'Exported Data'!A:A,'Exported Data'!B:B)</f>
        <v>2</v>
      </c>
      <c r="H6" s="8"/>
      <c r="I6" s="9" t="str">
        <f>'Exported Data'!A20</f>
        <v>[Level 2] Supreme Oyster Box</v>
      </c>
      <c r="J6" s="26" t="str">
        <f t="shared" si="2"/>
        <v>[Level 2] Supreme Oyster Box</v>
      </c>
      <c r="K6" s="27">
        <f t="array" ref="K6">XLOOKUP(J6,'Exported Data'!A:A,'Exported Data'!B:B)</f>
        <v>65</v>
      </c>
      <c r="L6" s="8"/>
      <c r="M6" s="17" t="s">
        <v>30</v>
      </c>
      <c r="N6" s="26" t="str">
        <f t="shared" si="3"/>
        <v>[Level 3] Rare Herb Pile</v>
      </c>
      <c r="O6" s="27">
        <f t="array" ref="O6">XLOOKUP(N6,'Exported Data'!$A:$A,'Exported Data'!$B:$B)</f>
        <v>21</v>
      </c>
      <c r="P6" s="8"/>
      <c r="Q6" s="17" t="s">
        <v>31</v>
      </c>
      <c r="R6" s="26" t="str">
        <f t="shared" si="4"/>
        <v>[Level 4] Old Chest with Gold Coins</v>
      </c>
      <c r="S6" s="27">
        <f t="array" ref="S6">XLOOKUP(R6,'Exported Data'!$A:$A,'Exported Data'!$B:$B)</f>
        <v>38</v>
      </c>
      <c r="T6" s="8"/>
      <c r="U6" s="17" t="s">
        <v>32</v>
      </c>
      <c r="V6" s="26" t="str">
        <f t="shared" si="5"/>
        <v>[Level 5] Stuffed White Caterpillar</v>
      </c>
      <c r="W6" s="27">
        <f t="array" ref="W6">XLOOKUP(V6,'Exported Data'!$A:$A,'Exported Data'!$B:$B)</f>
        <v>0</v>
      </c>
      <c r="X6" s="8"/>
      <c r="Y6" s="8"/>
      <c r="AF6" s="35" t="b">
        <v>0</v>
      </c>
      <c r="AG6" s="36" t="s">
        <v>33</v>
      </c>
      <c r="AH6" s="37"/>
      <c r="AI6" s="38"/>
    </row>
    <row r="7" ht="15.75" customHeight="1">
      <c r="A7" s="7" t="s">
        <v>34</v>
      </c>
      <c r="B7" s="7"/>
      <c r="C7" s="7">
        <v>3.0</v>
      </c>
      <c r="D7" s="7">
        <v>400.0</v>
      </c>
      <c r="E7" s="9" t="s">
        <v>35</v>
      </c>
      <c r="F7" s="26" t="str">
        <f t="shared" si="1"/>
        <v>[Level 1] Golden Sand</v>
      </c>
      <c r="G7" s="27">
        <f t="array" ref="G7">XLOOKUP(F7,'Exported Data'!A:A,'Exported Data'!B:B)</f>
        <v>21</v>
      </c>
      <c r="H7" s="8"/>
      <c r="I7" s="9" t="str">
        <f>'Exported Data'!A21</f>
        <v>[Level 2] Sea Survival Kit</v>
      </c>
      <c r="J7" s="26" t="str">
        <f t="shared" si="2"/>
        <v>[Level 2] Sea Survival Kit</v>
      </c>
      <c r="K7" s="27">
        <f t="array" ref="K7">XLOOKUP(J7,'Exported Data'!A:A,'Exported Data'!B:B)</f>
        <v>70</v>
      </c>
      <c r="L7" s="8"/>
      <c r="M7" s="17" t="s">
        <v>36</v>
      </c>
      <c r="N7" s="26" t="str">
        <f t="shared" si="3"/>
        <v>[Level 3] Skull Symbol Carpet</v>
      </c>
      <c r="O7" s="27">
        <f t="array" ref="O7">XLOOKUP(N7,'Exported Data'!$A:$A,'Exported Data'!$B:$B)</f>
        <v>75</v>
      </c>
      <c r="P7" s="8"/>
      <c r="Q7" s="17" t="s">
        <v>37</v>
      </c>
      <c r="R7" s="26" t="str">
        <f t="shared" si="4"/>
        <v>[Level 4] Seashell Deco</v>
      </c>
      <c r="S7" s="27">
        <f t="array" ref="S7">XLOOKUP(R7,'Exported Data'!$A:$A,'Exported Data'!$B:$B)</f>
        <v>15</v>
      </c>
      <c r="T7" s="8"/>
      <c r="U7" s="17" t="s">
        <v>38</v>
      </c>
      <c r="V7" s="26" t="str">
        <f t="shared" si="5"/>
        <v>[Level 5] Faded Gold Dragon Figurine</v>
      </c>
      <c r="W7" s="27">
        <f t="array" ref="W7">XLOOKUP(V7,'Exported Data'!$A:$A,'Exported Data'!$B:$B)</f>
        <v>0</v>
      </c>
      <c r="X7" s="8"/>
      <c r="Y7" s="8"/>
      <c r="Z7" s="8"/>
    </row>
    <row r="8" ht="15.75" customHeight="1">
      <c r="A8" s="7" t="s">
        <v>39</v>
      </c>
      <c r="B8" s="7">
        <v>15.0</v>
      </c>
      <c r="C8" s="7">
        <v>2.0</v>
      </c>
      <c r="D8" s="7">
        <v>900.0</v>
      </c>
      <c r="E8" s="9" t="s">
        <v>40</v>
      </c>
      <c r="F8" s="26" t="str">
        <f t="shared" si="1"/>
        <v>[Level 1] Cherry Tree Seed Pouch</v>
      </c>
      <c r="G8" s="27">
        <f t="array" ref="G8">XLOOKUP(F8,'Exported Data'!A:A,'Exported Data'!B:B)</f>
        <v>1</v>
      </c>
      <c r="H8" s="39"/>
      <c r="I8" s="9" t="str">
        <f>'Exported Data'!A22</f>
        <v>[Level 2] Urchin Spine</v>
      </c>
      <c r="J8" s="26" t="str">
        <f t="shared" si="2"/>
        <v>[Level 2] Urchin Spine</v>
      </c>
      <c r="K8" s="27">
        <f t="array" ref="K8">XLOOKUP(J8,'Exported Data'!A:A,'Exported Data'!B:B)</f>
        <v>33</v>
      </c>
      <c r="L8" s="39"/>
      <c r="M8" s="17" t="s">
        <v>41</v>
      </c>
      <c r="N8" s="26" t="str">
        <f t="shared" si="3"/>
        <v>[Level 3] Weasel Leather Coat</v>
      </c>
      <c r="O8" s="27">
        <f t="array" ref="O8">XLOOKUP(N8,'Exported Data'!$A:$A,'Exported Data'!$B:$B)</f>
        <v>52</v>
      </c>
      <c r="P8" s="39"/>
      <c r="Q8" s="17" t="s">
        <v>42</v>
      </c>
      <c r="R8" s="26" t="str">
        <f t="shared" si="4"/>
        <v>[Level 4] Boatman's Manual</v>
      </c>
      <c r="S8" s="27">
        <f t="array" ref="S8">XLOOKUP(R8,'Exported Data'!$A:$A,'Exported Data'!$B:$B)</f>
        <v>42</v>
      </c>
      <c r="T8" s="39"/>
      <c r="U8" s="17" t="s">
        <v>43</v>
      </c>
      <c r="V8" s="26" t="str">
        <f t="shared" si="5"/>
        <v>[Level 5] Supreme Gold Candlestick</v>
      </c>
      <c r="W8" s="27">
        <f t="array" ref="W8">XLOOKUP(V8,'Exported Data'!$A:$A,'Exported Data'!$B:$B)</f>
        <v>1</v>
      </c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</row>
    <row r="9" ht="15.75" customHeight="1">
      <c r="A9" s="7" t="s">
        <v>44</v>
      </c>
      <c r="B9" s="7"/>
      <c r="C9" s="7">
        <v>1.0</v>
      </c>
      <c r="D9" s="7">
        <v>1000.0</v>
      </c>
      <c r="E9" s="9" t="s">
        <v>45</v>
      </c>
      <c r="F9" s="26" t="str">
        <f t="shared" si="1"/>
        <v>[Level 1] Ancient Urn Piece</v>
      </c>
      <c r="G9" s="27">
        <f t="array" ref="G9">XLOOKUP(F9,'Exported Data'!A:A,'Exported Data'!B:B)</f>
        <v>10</v>
      </c>
      <c r="H9" s="8"/>
      <c r="I9" s="9" t="str">
        <f>'Exported Data'!A23</f>
        <v>[Level 2] Pirate Ship Mast</v>
      </c>
      <c r="J9" s="26" t="str">
        <f t="shared" si="2"/>
        <v>[Level 2] Pirate Ship Mast</v>
      </c>
      <c r="K9" s="27">
        <f t="array" ref="K9">XLOOKUP(J9,'Exported Data'!A:A,'Exported Data'!B:B)</f>
        <v>11</v>
      </c>
      <c r="L9" s="8"/>
      <c r="M9" s="17" t="s">
        <v>46</v>
      </c>
      <c r="N9" s="26" t="str">
        <f t="shared" si="3"/>
        <v>[Level 3] Gooey Monster Blood</v>
      </c>
      <c r="O9" s="27">
        <f t="array" ref="O9">XLOOKUP(N9,'Exported Data'!$A:$A,'Exported Data'!$B:$B)</f>
        <v>33</v>
      </c>
      <c r="P9" s="8"/>
      <c r="Q9" s="17" t="s">
        <v>47</v>
      </c>
      <c r="R9" s="26" t="str">
        <f t="shared" si="4"/>
        <v>[Level 4] Green Salt Lump</v>
      </c>
      <c r="S9" s="27">
        <f t="array" ref="S9">XLOOKUP(R9,'Exported Data'!$A:$A,'Exported Data'!$B:$B)</f>
        <v>17</v>
      </c>
      <c r="T9" s="8"/>
      <c r="U9" s="17" t="s">
        <v>48</v>
      </c>
      <c r="V9" s="26" t="str">
        <f t="shared" si="5"/>
        <v>[Level 5] Statue's Tear</v>
      </c>
      <c r="W9" s="27">
        <f t="array" ref="W9">XLOOKUP(V9,'Exported Data'!$A:$A,'Exported Data'!$B:$B)</f>
        <v>6</v>
      </c>
      <c r="X9" s="8"/>
      <c r="Y9" s="8"/>
      <c r="Z9" s="22" t="s">
        <v>49</v>
      </c>
      <c r="AA9" s="23"/>
      <c r="AB9" s="23"/>
      <c r="AC9" s="23"/>
      <c r="AD9" s="23"/>
      <c r="AE9" s="23"/>
      <c r="AF9" s="23"/>
      <c r="AG9" s="23"/>
      <c r="AH9" s="23"/>
      <c r="AI9" s="24"/>
    </row>
    <row r="10" ht="15.75" customHeight="1">
      <c r="A10" s="7" t="s">
        <v>50</v>
      </c>
      <c r="B10" s="7"/>
      <c r="C10" s="7">
        <v>1.0</v>
      </c>
      <c r="D10" s="7">
        <v>1000.0</v>
      </c>
      <c r="E10" s="9" t="s">
        <v>51</v>
      </c>
      <c r="F10" s="26" t="str">
        <f t="shared" si="1"/>
        <v>[Level 1] Chewy Raw Gizzard</v>
      </c>
      <c r="G10" s="27">
        <f t="array" ref="G10">XLOOKUP(F10,'Exported Data'!A:A,'Exported Data'!B:B)</f>
        <v>3</v>
      </c>
      <c r="H10" s="8"/>
      <c r="I10" s="9" t="str">
        <f>'Exported Data'!A24</f>
        <v>[Level 2] Balanced Stone Pagoda</v>
      </c>
      <c r="J10" s="26" t="str">
        <f t="shared" si="2"/>
        <v>[Level 2] Balanced Stone Pagoda</v>
      </c>
      <c r="K10" s="27">
        <f t="array" ref="K10">XLOOKUP(J10,'Exported Data'!A:A,'Exported Data'!B:B)</f>
        <v>58</v>
      </c>
      <c r="L10" s="8"/>
      <c r="M10" s="17" t="s">
        <v>52</v>
      </c>
      <c r="N10" s="26" t="str">
        <f t="shared" si="3"/>
        <v>[Level 3] Round Knife</v>
      </c>
      <c r="O10" s="27">
        <f t="array" ref="O10">XLOOKUP(N10,'Exported Data'!$A:$A,'Exported Data'!$B:$B)</f>
        <v>39</v>
      </c>
      <c r="P10" s="8"/>
      <c r="Q10" s="17" t="s">
        <v>53</v>
      </c>
      <c r="R10" s="26" t="str">
        <f t="shared" si="4"/>
        <v>[Level 4] Solidified Lava</v>
      </c>
      <c r="S10" s="27">
        <f t="array" ref="S10">XLOOKUP(R10,'Exported Data'!$A:$A,'Exported Data'!$B:$B)</f>
        <v>20</v>
      </c>
      <c r="T10" s="8"/>
      <c r="U10" s="17" t="s">
        <v>54</v>
      </c>
      <c r="V10" s="26" t="str">
        <f t="shared" si="5"/>
        <v>[Level 5] Stuffed Morpho Butterfly</v>
      </c>
      <c r="W10" s="27">
        <f t="array" ref="W10">XLOOKUP(V10,'Exported Data'!$A:$A,'Exported Data'!$B:$B)</f>
        <v>6</v>
      </c>
      <c r="X10" s="8"/>
      <c r="Y10" s="8"/>
      <c r="Z10" s="28"/>
      <c r="AA10" s="29"/>
      <c r="AB10" s="29"/>
      <c r="AC10" s="29"/>
      <c r="AD10" s="29"/>
      <c r="AE10" s="29"/>
      <c r="AF10" s="29"/>
      <c r="AG10" s="29"/>
      <c r="AH10" s="29"/>
      <c r="AI10" s="30"/>
    </row>
    <row r="11" ht="15.75" customHeight="1">
      <c r="A11" s="7" t="s">
        <v>55</v>
      </c>
      <c r="B11" s="7"/>
      <c r="C11" s="7">
        <v>1.0</v>
      </c>
      <c r="D11" s="7">
        <v>2000.0</v>
      </c>
      <c r="E11" s="9" t="s">
        <v>56</v>
      </c>
      <c r="F11" s="26" t="str">
        <f t="shared" si="1"/>
        <v>[Level 1] Raft Toy</v>
      </c>
      <c r="G11" s="27">
        <f t="array" ref="G11">XLOOKUP(F11,'Exported Data'!A:A,'Exported Data'!B:B)</f>
        <v>3</v>
      </c>
      <c r="H11" s="8"/>
      <c r="I11" s="9" t="str">
        <f>'Exported Data'!A25</f>
        <v>[Level 2] Cron Castle Gold Coin</v>
      </c>
      <c r="J11" s="26" t="str">
        <f t="shared" si="2"/>
        <v>[Level 2] Cron Castle Gold Coin</v>
      </c>
      <c r="K11" s="27">
        <f t="array" ref="K11">XLOOKUP(J11,'Exported Data'!A:A,'Exported Data'!B:B)</f>
        <v>79</v>
      </c>
      <c r="L11" s="8"/>
      <c r="M11" s="17" t="s">
        <v>57</v>
      </c>
      <c r="N11" s="26" t="str">
        <f t="shared" si="3"/>
        <v>[Level 3] Skull Decorated Teacup</v>
      </c>
      <c r="O11" s="27">
        <f t="array" ref="O11">XLOOKUP(N11,'Exported Data'!$A:$A,'Exported Data'!$B:$B)</f>
        <v>70</v>
      </c>
      <c r="P11" s="8"/>
      <c r="Q11" s="17" t="s">
        <v>58</v>
      </c>
      <c r="R11" s="26" t="str">
        <f t="shared" si="4"/>
        <v>[Level 4] Marine Knights' Spear</v>
      </c>
      <c r="S11" s="27">
        <f t="array" ref="S11">XLOOKUP(R11,'Exported Data'!$A:$A,'Exported Data'!$B:$B)</f>
        <v>28</v>
      </c>
      <c r="T11" s="8"/>
      <c r="U11" s="17" t="s">
        <v>59</v>
      </c>
      <c r="V11" s="26" t="str">
        <f t="shared" si="5"/>
        <v>[Level 5] Azure Quartz</v>
      </c>
      <c r="W11" s="27">
        <f t="array" ref="W11">XLOOKUP(V11,'Exported Data'!$A:$A,'Exported Data'!$B:$B)</f>
        <v>3</v>
      </c>
      <c r="X11" s="8"/>
      <c r="Y11" s="8"/>
      <c r="Z11" s="34"/>
      <c r="AC11" s="34"/>
      <c r="AF11" s="35" t="b">
        <v>0</v>
      </c>
      <c r="AG11" s="36" t="s">
        <v>19</v>
      </c>
      <c r="AH11" s="37"/>
      <c r="AI11" s="38"/>
    </row>
    <row r="12" ht="15.75" customHeight="1">
      <c r="A12" s="7"/>
      <c r="B12" s="7"/>
      <c r="C12" s="3"/>
      <c r="D12" s="8"/>
      <c r="E12" s="9" t="s">
        <v>60</v>
      </c>
      <c r="F12" s="26" t="str">
        <f t="shared" si="1"/>
        <v>[Level 1] Stained Seagull Figurine</v>
      </c>
      <c r="G12" s="27">
        <f t="array" ref="G12">XLOOKUP(F12,'Exported Data'!A:A,'Exported Data'!B:B)</f>
        <v>13</v>
      </c>
      <c r="H12" s="8"/>
      <c r="I12" s="9" t="str">
        <f>'Exported Data'!A26</f>
        <v>[Level 2] Opulent Marble</v>
      </c>
      <c r="J12" s="26" t="str">
        <f t="shared" si="2"/>
        <v>[Level 2] Opulent Marble</v>
      </c>
      <c r="K12" s="27">
        <f t="array" ref="K12">XLOOKUP(J12,'Exported Data'!A:A,'Exported Data'!B:B)</f>
        <v>45</v>
      </c>
      <c r="L12" s="8"/>
      <c r="M12" s="17" t="s">
        <v>61</v>
      </c>
      <c r="N12" s="26" t="str">
        <f t="shared" si="3"/>
        <v>[Level 3] Stalactite Fragment</v>
      </c>
      <c r="O12" s="27">
        <f t="array" ref="O12">XLOOKUP(N12,'Exported Data'!$A:$A,'Exported Data'!$B:$B)</f>
        <v>69</v>
      </c>
      <c r="P12" s="8"/>
      <c r="Q12" s="17" t="s">
        <v>62</v>
      </c>
      <c r="R12" s="26" t="str">
        <f t="shared" si="4"/>
        <v>[Level 4] Amethyst Fragment</v>
      </c>
      <c r="S12" s="27">
        <f t="array" ref="S12">XLOOKUP(R12,'Exported Data'!$A:$A,'Exported Data'!$B:$B)</f>
        <v>24</v>
      </c>
      <c r="T12" s="8"/>
      <c r="U12" s="17" t="s">
        <v>63</v>
      </c>
      <c r="V12" s="26" t="str">
        <f t="shared" si="5"/>
        <v>[Level 5] Luxury Patterned Fabric</v>
      </c>
      <c r="W12" s="27">
        <f t="array" ref="W12">XLOOKUP(V12,'Exported Data'!$A:$A,'Exported Data'!$B:$B)</f>
        <v>12</v>
      </c>
      <c r="X12" s="8"/>
      <c r="Y12" s="8"/>
      <c r="AF12" s="35" t="b">
        <v>1</v>
      </c>
      <c r="AG12" s="36" t="s">
        <v>27</v>
      </c>
      <c r="AH12" s="37"/>
      <c r="AI12" s="38"/>
    </row>
    <row r="13" ht="15.75" customHeight="1">
      <c r="A13" s="7"/>
      <c r="B13" s="7"/>
      <c r="C13" s="7"/>
      <c r="D13" s="8"/>
      <c r="E13" s="9" t="s">
        <v>64</v>
      </c>
      <c r="F13" s="26" t="str">
        <f t="shared" si="1"/>
        <v>[Level 1] Naval Ration</v>
      </c>
      <c r="G13" s="27">
        <f t="array" ref="G13">XLOOKUP(F13,'Exported Data'!A:A,'Exported Data'!B:B)</f>
        <v>33</v>
      </c>
      <c r="H13" s="8"/>
      <c r="I13" s="9" t="str">
        <f>'Exported Data'!A27</f>
        <v>[Level 2] Narvo Sea Cucumber</v>
      </c>
      <c r="J13" s="26" t="str">
        <f t="shared" si="2"/>
        <v>[Level 2] Narvo Sea Cucumber</v>
      </c>
      <c r="K13" s="27">
        <f t="array" ref="K13">XLOOKUP(J13,'Exported Data'!A:A,'Exported Data'!B:B)</f>
        <v>20</v>
      </c>
      <c r="L13" s="8"/>
      <c r="M13" s="17" t="s">
        <v>65</v>
      </c>
      <c r="N13" s="26" t="str">
        <f t="shared" si="3"/>
        <v>[Level 3] Scout Binoculars</v>
      </c>
      <c r="O13" s="27">
        <f t="array" ref="O13">XLOOKUP(N13,'Exported Data'!$A:$A,'Exported Data'!$B:$B)</f>
        <v>55</v>
      </c>
      <c r="P13" s="8"/>
      <c r="Q13" s="17" t="s">
        <v>66</v>
      </c>
      <c r="R13" s="26" t="str">
        <f t="shared" si="4"/>
        <v>[Level 4] Opulent Thread Spool</v>
      </c>
      <c r="S13" s="27">
        <f t="array" ref="S13">XLOOKUP(R13,'Exported Data'!$A:$A,'Exported Data'!$B:$B)</f>
        <v>21</v>
      </c>
      <c r="T13" s="8"/>
      <c r="U13" s="17" t="s">
        <v>67</v>
      </c>
      <c r="V13" s="26" t="str">
        <f t="shared" si="5"/>
        <v>[Level 5] Octagonal Box</v>
      </c>
      <c r="W13" s="27">
        <f t="array" ref="W13">XLOOKUP(V13,'Exported Data'!$A:$A,'Exported Data'!$B:$B)</f>
        <v>5</v>
      </c>
      <c r="X13" s="8"/>
      <c r="Y13" s="8"/>
      <c r="AF13" s="35" t="b">
        <v>0</v>
      </c>
      <c r="AG13" s="36" t="s">
        <v>33</v>
      </c>
      <c r="AH13" s="37"/>
      <c r="AI13" s="38"/>
    </row>
    <row r="14" ht="19.5" customHeight="1">
      <c r="A14" s="7"/>
      <c r="B14" s="3"/>
      <c r="C14" s="3"/>
      <c r="D14" s="8"/>
      <c r="E14" s="9" t="s">
        <v>68</v>
      </c>
      <c r="F14" s="26" t="str">
        <f t="shared" si="1"/>
        <v>[Level 1] Giant Fish Bone</v>
      </c>
      <c r="G14" s="27"/>
      <c r="H14" s="8"/>
      <c r="I14" s="9" t="str">
        <f>'Exported Data'!A28</f>
        <v>[Level 2] Island Tree Coated Plywood</v>
      </c>
      <c r="J14" s="26" t="str">
        <f t="shared" si="2"/>
        <v>[Level 2] Island Tree Coated Plywood</v>
      </c>
      <c r="K14" s="27">
        <f t="array" ref="K14">XLOOKUP(J14,'Exported Data'!A:A,'Exported Data'!B:B)</f>
        <v>30</v>
      </c>
      <c r="L14" s="8"/>
      <c r="M14" s="17" t="s">
        <v>69</v>
      </c>
      <c r="N14" s="26" t="str">
        <f t="shared" si="3"/>
        <v>[Level 3] Pirates' Supply Box</v>
      </c>
      <c r="O14" s="27">
        <f t="array" ref="O14">XLOOKUP(N14,'Exported Data'!$A:$A,'Exported Data'!$B:$B)</f>
        <v>44</v>
      </c>
      <c r="P14" s="8"/>
      <c r="Q14" s="17" t="s">
        <v>70</v>
      </c>
      <c r="R14" s="26" t="str">
        <f t="shared" si="4"/>
        <v>[Level 4] Stolen Pirate Dagger</v>
      </c>
      <c r="S14" s="27">
        <f t="array" ref="S14">XLOOKUP(R14,'Exported Data'!$A:$A,'Exported Data'!$B:$B)</f>
        <v>28</v>
      </c>
      <c r="T14" s="8"/>
      <c r="U14" s="17" t="s">
        <v>71</v>
      </c>
      <c r="V14" s="26" t="str">
        <f t="shared" si="5"/>
        <v>[Level 5] Mysterious Rock</v>
      </c>
      <c r="W14" s="27">
        <f t="array" ref="W14">XLOOKUP(V14,'Exported Data'!$A:$A,'Exported Data'!$B:$B)</f>
        <v>4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ht="19.5" customHeight="1">
      <c r="A15" s="7"/>
      <c r="B15" s="3"/>
      <c r="C15" s="3"/>
      <c r="D15" s="8"/>
      <c r="E15" s="9" t="s">
        <v>72</v>
      </c>
      <c r="F15" s="26" t="str">
        <f t="shared" si="1"/>
        <v>[Level 1] Dried Blue Rose</v>
      </c>
      <c r="G15" s="27"/>
      <c r="H15" s="8"/>
      <c r="I15" s="9" t="str">
        <f>'Exported Data'!A29</f>
        <v>[Level 2] Conch Shell Ornament</v>
      </c>
      <c r="J15" s="26" t="str">
        <f t="shared" si="2"/>
        <v>[Level 2] Conch Shell Ornament</v>
      </c>
      <c r="K15" s="27">
        <f t="array" ref="K15">XLOOKUP(J15,'Exported Data'!A:A,'Exported Data'!B:B)</f>
        <v>30</v>
      </c>
      <c r="L15" s="8"/>
      <c r="M15" s="17" t="s">
        <v>73</v>
      </c>
      <c r="N15" s="26" t="str">
        <f t="shared" si="3"/>
        <v>[Level 3] Torn Pirate Treasure Map</v>
      </c>
      <c r="O15" s="27">
        <f t="array" ref="O15">XLOOKUP(N15,'Exported Data'!$A:$A,'Exported Data'!$B:$B)</f>
        <v>26</v>
      </c>
      <c r="P15" s="8"/>
      <c r="Q15" s="17" t="s">
        <v>74</v>
      </c>
      <c r="R15" s="26" t="str">
        <f t="shared" si="4"/>
        <v>[Level 4] Marine Knights' Helm</v>
      </c>
      <c r="S15" s="27">
        <f t="array" ref="S15">XLOOKUP(R15,'Exported Data'!$A:$A,'Exported Data'!$B:$B)</f>
        <v>27</v>
      </c>
      <c r="T15" s="8"/>
      <c r="U15" s="17" t="s">
        <v>75</v>
      </c>
      <c r="V15" s="26" t="str">
        <f t="shared" si="5"/>
        <v>[Level 5] Valencia Sand Shield</v>
      </c>
      <c r="W15" s="27" t="str">
        <f t="array" ref="W15">XLOOKUP(V15,'Exported Data'!$A:$A,'Exported Data'!$B:$B)</f>
        <v>#N/A</v>
      </c>
      <c r="X15" s="8"/>
      <c r="Y15" s="8"/>
      <c r="Z15" s="22" t="s">
        <v>76</v>
      </c>
      <c r="AA15" s="23"/>
      <c r="AB15" s="23"/>
      <c r="AC15" s="23"/>
      <c r="AD15" s="23"/>
      <c r="AE15" s="23"/>
      <c r="AF15" s="23"/>
      <c r="AG15" s="23"/>
      <c r="AH15" s="23"/>
      <c r="AI15" s="24"/>
    </row>
    <row r="16" ht="19.5" customHeight="1">
      <c r="A16" s="7" t="s">
        <v>77</v>
      </c>
      <c r="B16" s="7" t="s">
        <v>78</v>
      </c>
      <c r="C16" s="7"/>
      <c r="D16" s="8"/>
      <c r="E16" s="9"/>
      <c r="F16" s="26" t="str">
        <f t="shared" si="1"/>
        <v/>
      </c>
      <c r="G16" s="27"/>
      <c r="H16" s="8"/>
      <c r="I16" s="9" t="str">
        <f>'Exported Data'!A30</f>
        <v>[Level 2] Pirate Gold Coin</v>
      </c>
      <c r="J16" s="26" t="str">
        <f t="shared" si="2"/>
        <v>[Level 2] Pirate Gold Coin</v>
      </c>
      <c r="K16" s="27">
        <f t="array" ref="K16">XLOOKUP(J16,'Exported Data'!A:A,'Exported Data'!B:B)</f>
        <v>52</v>
      </c>
      <c r="L16" s="8"/>
      <c r="M16" s="17" t="s">
        <v>79</v>
      </c>
      <c r="N16" s="26" t="str">
        <f t="shared" si="3"/>
        <v>[Level 3] Old Hourglass</v>
      </c>
      <c r="O16" s="27">
        <f t="array" ref="O16">XLOOKUP(N16,'Exported Data'!$A:$A,'Exported Data'!$B:$B)</f>
        <v>21</v>
      </c>
      <c r="P16" s="8"/>
      <c r="Q16" s="17"/>
      <c r="R16" s="26" t="str">
        <f t="shared" si="4"/>
        <v/>
      </c>
      <c r="S16" s="27" t="str">
        <f t="array" ref="S16">XLOOKUP(R16,'Exported Data'!$A:$A,'Exported Data'!$B:$B)</f>
        <v>#N/A</v>
      </c>
      <c r="T16" s="8"/>
      <c r="U16" s="17"/>
      <c r="V16" s="26" t="str">
        <f t="shared" si="5"/>
        <v/>
      </c>
      <c r="W16" s="27" t="str">
        <f t="array" ref="W16">XLOOKUP(V16,'Exported Data'!$A:$A,'Exported Data'!$B:$B)</f>
        <v>#N/A</v>
      </c>
      <c r="X16" s="8"/>
      <c r="Y16" s="8"/>
      <c r="Z16" s="28"/>
      <c r="AA16" s="29"/>
      <c r="AB16" s="29"/>
      <c r="AC16" s="29"/>
      <c r="AD16" s="29"/>
      <c r="AE16" s="29"/>
      <c r="AF16" s="29"/>
      <c r="AG16" s="29"/>
      <c r="AH16" s="29"/>
      <c r="AI16" s="30"/>
    </row>
    <row r="17" ht="19.5" customHeight="1">
      <c r="A17" s="7">
        <v>2711.0</v>
      </c>
      <c r="B17" s="7">
        <v>23550.0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8"/>
      <c r="S17" s="8"/>
      <c r="T17" s="8"/>
      <c r="U17" s="8"/>
      <c r="V17" s="8"/>
      <c r="W17" s="8"/>
      <c r="X17" s="8"/>
      <c r="Y17" s="8"/>
      <c r="Z17" s="34"/>
      <c r="AC17" s="34"/>
      <c r="AF17" s="35" t="b">
        <v>0</v>
      </c>
      <c r="AG17" s="36" t="s">
        <v>19</v>
      </c>
      <c r="AH17" s="37"/>
      <c r="AI17" s="38"/>
    </row>
    <row r="18" ht="15.75" customHeight="1">
      <c r="A18" s="7" t="s">
        <v>80</v>
      </c>
      <c r="B18" s="7" t="s">
        <v>81</v>
      </c>
      <c r="C18" s="7"/>
      <c r="D18" s="40" t="s">
        <v>82</v>
      </c>
      <c r="P18" s="41"/>
      <c r="Q18" s="41"/>
      <c r="R18" s="41" t="s">
        <v>83</v>
      </c>
      <c r="S18" s="42"/>
      <c r="T18" s="41"/>
      <c r="U18" s="41"/>
      <c r="V18" s="41" t="s">
        <v>84</v>
      </c>
      <c r="W18" s="43"/>
      <c r="X18" s="41"/>
      <c r="Y18" s="41"/>
      <c r="AF18" s="35" t="b">
        <v>0</v>
      </c>
      <c r="AG18" s="36" t="s">
        <v>27</v>
      </c>
      <c r="AH18" s="37"/>
      <c r="AI18" s="38"/>
    </row>
    <row r="19" ht="19.5" customHeight="1">
      <c r="A19" s="3">
        <f>(B6*D6)+(B7*D7)+(B8*D8)+(B9*D9)+(B10*D10)+(B11*C11)+A17</f>
        <v>16211</v>
      </c>
      <c r="B19" s="7">
        <f>((B6*C6)*400)+((B7*C7)*900)+((B8*C8)*D9)+((B9*C9)*D10)+((B10*C10)*D11)+A17</f>
        <v>32711</v>
      </c>
      <c r="C19" s="7"/>
      <c r="D19" s="40" t="s">
        <v>85</v>
      </c>
      <c r="P19" s="41"/>
      <c r="Q19" s="41"/>
      <c r="R19" s="41" t="s">
        <v>86</v>
      </c>
      <c r="S19" s="44"/>
      <c r="T19" s="41"/>
      <c r="U19" s="41"/>
      <c r="V19" s="41" t="s">
        <v>87</v>
      </c>
      <c r="W19" s="45"/>
      <c r="X19" s="41"/>
      <c r="Y19" s="8"/>
      <c r="AF19" s="35" t="b">
        <v>1</v>
      </c>
      <c r="AG19" s="36" t="s">
        <v>33</v>
      </c>
      <c r="AH19" s="37"/>
      <c r="AI19" s="38"/>
    </row>
    <row r="20" ht="19.5" customHeight="1">
      <c r="A20" s="35"/>
      <c r="B20" s="35"/>
      <c r="C20" s="35"/>
      <c r="D20" s="40" t="s">
        <v>88</v>
      </c>
      <c r="P20" s="41"/>
      <c r="Q20" s="41"/>
      <c r="R20" s="41" t="s">
        <v>89</v>
      </c>
      <c r="S20" s="46"/>
      <c r="T20" s="41"/>
      <c r="U20" s="41"/>
      <c r="V20" s="41"/>
      <c r="W20" s="8"/>
      <c r="X20" s="41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ht="33.75" customHeight="1">
      <c r="A21" s="35"/>
      <c r="B21" s="35"/>
      <c r="C21" s="35"/>
      <c r="D21" s="35"/>
      <c r="E21" s="35"/>
      <c r="F21" s="35"/>
      <c r="G21" s="47" t="s">
        <v>90</v>
      </c>
      <c r="H21" s="48" t="s">
        <v>91</v>
      </c>
      <c r="I21" s="35"/>
      <c r="J21" s="35"/>
      <c r="K21" s="47" t="s">
        <v>90</v>
      </c>
      <c r="L21" s="48"/>
      <c r="M21" s="48" t="s">
        <v>91</v>
      </c>
      <c r="N21" s="35"/>
      <c r="O21" s="47" t="s">
        <v>90</v>
      </c>
      <c r="P21" s="48" t="s">
        <v>91</v>
      </c>
      <c r="Q21" s="48"/>
      <c r="R21" s="35"/>
      <c r="S21" s="47" t="s">
        <v>90</v>
      </c>
      <c r="T21" s="48"/>
      <c r="U21" s="48" t="s">
        <v>91</v>
      </c>
      <c r="V21" s="35"/>
      <c r="W21" s="47" t="s">
        <v>90</v>
      </c>
      <c r="X21" s="48" t="s">
        <v>91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ht="33.75" customHeight="1">
      <c r="A22" s="35"/>
      <c r="B22" s="35"/>
      <c r="C22" s="35"/>
      <c r="D22" s="35"/>
      <c r="E22" s="35"/>
      <c r="F22" s="34"/>
      <c r="G22" s="35" t="b">
        <v>1</v>
      </c>
      <c r="H22" s="35" t="b">
        <v>1</v>
      </c>
      <c r="I22" s="33"/>
      <c r="J22" s="33"/>
      <c r="K22" s="35" t="b">
        <v>0</v>
      </c>
      <c r="L22" s="35" t="b">
        <v>0</v>
      </c>
      <c r="M22" s="35" t="b">
        <v>0</v>
      </c>
      <c r="N22" s="34"/>
      <c r="O22" s="35" t="b">
        <v>1</v>
      </c>
      <c r="P22" s="35" t="b">
        <v>1</v>
      </c>
      <c r="Q22" s="35" t="b">
        <v>0</v>
      </c>
      <c r="R22" s="33"/>
      <c r="S22" s="35" t="b">
        <v>1</v>
      </c>
      <c r="T22" s="35" t="b">
        <v>0</v>
      </c>
      <c r="U22" s="35" t="b">
        <v>0</v>
      </c>
      <c r="V22" s="34"/>
      <c r="W22" s="35" t="b">
        <v>1</v>
      </c>
      <c r="X22" s="35" t="b">
        <v>1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ht="33.75" customHeight="1">
      <c r="A23" s="49" t="s">
        <v>92</v>
      </c>
      <c r="C23" s="35"/>
      <c r="E23" s="35"/>
      <c r="F23" s="33"/>
      <c r="G23" s="35" t="b">
        <v>1</v>
      </c>
      <c r="H23" s="35" t="b">
        <v>1</v>
      </c>
      <c r="I23" s="34"/>
      <c r="J23" s="34"/>
      <c r="K23" s="35" t="b">
        <v>1</v>
      </c>
      <c r="L23" s="35" t="b">
        <v>0</v>
      </c>
      <c r="M23" s="35" t="b">
        <v>1</v>
      </c>
      <c r="N23" s="33"/>
      <c r="O23" s="35" t="b">
        <v>1</v>
      </c>
      <c r="P23" s="35" t="b">
        <v>0</v>
      </c>
      <c r="Q23" s="35" t="b">
        <v>0</v>
      </c>
      <c r="R23" s="34"/>
      <c r="S23" s="35" t="b">
        <v>1</v>
      </c>
      <c r="T23" s="35" t="b">
        <v>0</v>
      </c>
      <c r="U23" s="35" t="b">
        <v>0</v>
      </c>
      <c r="V23" s="33"/>
      <c r="W23" s="35" t="b">
        <v>1</v>
      </c>
      <c r="X23" s="35" t="b">
        <v>0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ht="33.75" customHeight="1">
      <c r="A24" s="50">
        <v>8704.0</v>
      </c>
      <c r="C24" s="35"/>
      <c r="E24" s="35"/>
      <c r="F24" s="34"/>
      <c r="G24" s="35" t="b">
        <v>1</v>
      </c>
      <c r="H24" s="35" t="b">
        <v>1</v>
      </c>
      <c r="I24" s="33"/>
      <c r="J24" s="33"/>
      <c r="K24" s="35" t="b">
        <v>1</v>
      </c>
      <c r="L24" s="35" t="b">
        <v>0</v>
      </c>
      <c r="M24" s="35" t="b">
        <v>0</v>
      </c>
      <c r="N24" s="34"/>
      <c r="O24" s="35" t="b">
        <v>0</v>
      </c>
      <c r="P24" s="35" t="b">
        <v>0</v>
      </c>
      <c r="Q24" s="35" t="b">
        <v>0</v>
      </c>
      <c r="R24" s="33"/>
      <c r="S24" s="35" t="b">
        <v>0</v>
      </c>
      <c r="T24" s="35" t="b">
        <v>0</v>
      </c>
      <c r="U24" s="35" t="b">
        <v>0</v>
      </c>
      <c r="V24" s="35"/>
      <c r="W24" s="35"/>
      <c r="X24" s="35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ht="33.75" customHeight="1">
      <c r="A25" s="51"/>
      <c r="B25" s="51"/>
      <c r="C25" s="51"/>
      <c r="D25" s="35"/>
      <c r="E25" s="35"/>
      <c r="F25" s="52"/>
      <c r="G25" s="35"/>
      <c r="H25" s="35"/>
      <c r="I25" s="52"/>
      <c r="J25" s="52"/>
      <c r="K25" s="35"/>
      <c r="L25" s="35"/>
      <c r="M25" s="35"/>
      <c r="N25" s="52"/>
      <c r="O25" s="35"/>
      <c r="P25" s="35"/>
      <c r="Q25" s="35"/>
      <c r="R25" s="52"/>
      <c r="S25" s="35"/>
      <c r="T25" s="35"/>
      <c r="U25" s="35"/>
      <c r="V25" s="35"/>
      <c r="W25" s="35"/>
      <c r="X25" s="35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:X1"/>
    <mergeCell ref="Z2:AI3"/>
    <mergeCell ref="Z4:AB6"/>
    <mergeCell ref="AC4:AE6"/>
    <mergeCell ref="AG4:AI4"/>
    <mergeCell ref="AG5:AI5"/>
    <mergeCell ref="AG6:AI6"/>
    <mergeCell ref="AG17:AI17"/>
    <mergeCell ref="AG18:AI18"/>
    <mergeCell ref="AG19:AI19"/>
    <mergeCell ref="Z7:AI7"/>
    <mergeCell ref="Z9:AI10"/>
    <mergeCell ref="AC11:AE13"/>
    <mergeCell ref="AG11:AI11"/>
    <mergeCell ref="AG12:AI12"/>
    <mergeCell ref="AG13:AI13"/>
    <mergeCell ref="Z15:AI16"/>
    <mergeCell ref="A23:B23"/>
    <mergeCell ref="A24:B24"/>
    <mergeCell ref="Z11:AB13"/>
    <mergeCell ref="Z17:AB19"/>
    <mergeCell ref="AC17:AE19"/>
    <mergeCell ref="D18:O18"/>
    <mergeCell ref="D19:O19"/>
    <mergeCell ref="D20:O20"/>
    <mergeCell ref="D22:D24"/>
  </mergeCells>
  <conditionalFormatting sqref="W3:W16">
    <cfRule type="cellIs" dxfId="0" priority="1" operator="lessThan">
      <formula>5</formula>
    </cfRule>
  </conditionalFormatting>
  <conditionalFormatting sqref="S3:S16">
    <cfRule type="cellIs" dxfId="1" priority="2" operator="lessThan">
      <formula>6</formula>
    </cfRule>
  </conditionalFormatting>
  <conditionalFormatting sqref="A19 B19:C19">
    <cfRule type="cellIs" dxfId="2" priority="3" operator="greaterThan">
      <formula>23550</formula>
    </cfRule>
  </conditionalFormatting>
  <conditionalFormatting sqref="O3:O16 S3:S16 W3:W16">
    <cfRule type="cellIs" dxfId="3" priority="4" operator="lessThan">
      <formula>6</formula>
    </cfRule>
  </conditionalFormatting>
  <conditionalFormatting sqref="K3:K16 O3:O16 S3:S16 W3:W16">
    <cfRule type="cellIs" dxfId="4" priority="5" operator="lessThan">
      <formula>4</formula>
    </cfRule>
  </conditionalFormatting>
  <conditionalFormatting sqref="G3:G16">
    <cfRule type="cellIs" dxfId="5" priority="6" operator="lessThan">
      <formula>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4.88"/>
    <col customWidth="1" min="3" max="3" width="28.25"/>
    <col customWidth="1" min="4" max="4" width="5.63"/>
    <col customWidth="1" min="5" max="5" width="3.88"/>
    <col customWidth="1" min="6" max="6" width="4.25"/>
    <col customWidth="1" min="7" max="7" width="30.0"/>
    <col customWidth="1" min="8" max="8" width="5.63"/>
    <col customWidth="1" min="9" max="10" width="3.88"/>
    <col customWidth="1" min="11" max="11" width="34.88"/>
    <col customWidth="1" min="12" max="12" width="5.63"/>
    <col customWidth="1" min="13" max="13" width="3.88"/>
    <col customWidth="1" min="14" max="14" width="4.5"/>
  </cols>
  <sheetData>
    <row r="1" ht="27.75" customHeight="1">
      <c r="A1" s="53" t="s">
        <v>2</v>
      </c>
    </row>
    <row r="2" ht="15.75" customHeight="1">
      <c r="A2" s="8"/>
      <c r="B2" s="9"/>
      <c r="C2" s="10" t="s">
        <v>3</v>
      </c>
      <c r="D2" s="11"/>
      <c r="E2" s="12"/>
      <c r="F2" s="9" t="s">
        <v>4</v>
      </c>
      <c r="G2" s="13" t="s">
        <v>5</v>
      </c>
      <c r="H2" s="14"/>
      <c r="I2" s="12"/>
      <c r="J2" s="9"/>
      <c r="K2" s="54" t="s">
        <v>93</v>
      </c>
      <c r="L2" s="55"/>
      <c r="M2" s="7"/>
      <c r="N2" s="4"/>
    </row>
    <row r="3" ht="15.75" customHeight="1">
      <c r="A3" s="8"/>
      <c r="B3" s="9" t="s">
        <v>11</v>
      </c>
      <c r="C3" s="26" t="str">
        <f t="shared" ref="C3:C15" si="1">B3</f>
        <v>[Level 1] Unidentified Ancient Mural</v>
      </c>
      <c r="D3" s="56">
        <f t="array" ref="D3">XLOOKUP(C3,'Exported Data'!$A:$A,'Exported Data'!$B:$B)</f>
        <v>12</v>
      </c>
      <c r="E3" s="8"/>
      <c r="F3" s="9" t="s">
        <v>94</v>
      </c>
      <c r="G3" s="26" t="str">
        <f t="shared" ref="G3:G15" si="2">F3</f>
        <v>[Level 2] Islanders' Lunchbox</v>
      </c>
      <c r="H3" s="56">
        <f t="array" ref="H3">XLOOKUP(G3,'Exported Data'!$A:$A,'Exported Data'!$B:$B)</f>
        <v>57</v>
      </c>
      <c r="I3" s="8"/>
      <c r="J3" s="9" t="s">
        <v>95</v>
      </c>
      <c r="K3" s="26" t="str">
        <f t="shared" ref="K3:K26" si="3">J3</f>
        <v>[Level 6] Miniature Arehaza Lighthouse</v>
      </c>
      <c r="L3" s="56">
        <f t="array" ref="L3">XLOOKUP(K3,'Exported Data'!$A:$A,'Exported Data'!$B:$B)</f>
        <v>0</v>
      </c>
      <c r="M3" s="7"/>
      <c r="N3" s="4"/>
    </row>
    <row r="4" ht="15.75" customHeight="1">
      <c r="A4" s="8"/>
      <c r="B4" s="9" t="s">
        <v>15</v>
      </c>
      <c r="C4" s="26" t="str">
        <f t="shared" si="1"/>
        <v>[Level 1] Pirates' Gunpowder</v>
      </c>
      <c r="D4" s="56">
        <f t="array" ref="D4">XLOOKUP(C4,'Exported Data'!$A:$A,'Exported Data'!$B:$B)</f>
        <v>11</v>
      </c>
      <c r="E4" s="8"/>
      <c r="F4" s="9" t="s">
        <v>96</v>
      </c>
      <c r="G4" s="26" t="str">
        <f t="shared" si="2"/>
        <v>[Level 2] Monster Tentacle</v>
      </c>
      <c r="H4" s="56">
        <f t="array" ref="H4">XLOOKUP(G4,'Exported Data'!$A:$A,'Exported Data'!$B:$B)</f>
        <v>32</v>
      </c>
      <c r="I4" s="8"/>
      <c r="J4" s="9" t="s">
        <v>97</v>
      </c>
      <c r="K4" s="26" t="str">
        <f t="shared" si="3"/>
        <v>[Level 6] Golden Cactus Bouquet</v>
      </c>
      <c r="L4" s="56">
        <f t="array" ref="L4">XLOOKUP(K4,'Exported Data'!$A:$A,'Exported Data'!$B:$B)</f>
        <v>0</v>
      </c>
      <c r="M4" s="7"/>
      <c r="N4" s="4"/>
    </row>
    <row r="5" ht="15.75" customHeight="1">
      <c r="A5" s="7"/>
      <c r="B5" s="9" t="s">
        <v>23</v>
      </c>
      <c r="C5" s="26" t="str">
        <f t="shared" si="1"/>
        <v>[Level 1] Fertile Soil</v>
      </c>
      <c r="D5" s="56">
        <f t="array" ref="D5">XLOOKUP(C5,'Exported Data'!$A:$A,'Exported Data'!$B:$B)</f>
        <v>1</v>
      </c>
      <c r="E5" s="8"/>
      <c r="F5" s="9" t="s">
        <v>98</v>
      </c>
      <c r="G5" s="26" t="str">
        <f t="shared" si="2"/>
        <v>[Level 2] Filtered Drinking Water</v>
      </c>
      <c r="H5" s="56">
        <f t="array" ref="H5">XLOOKUP(G5,'Exported Data'!$A:$A,'Exported Data'!$B:$B)</f>
        <v>81</v>
      </c>
      <c r="I5" s="8"/>
      <c r="J5" s="9" t="s">
        <v>99</v>
      </c>
      <c r="K5" s="26" t="str">
        <f t="shared" si="3"/>
        <v>[Level 6] Forest Fairy Perfume</v>
      </c>
      <c r="L5" s="56">
        <f t="array" ref="L5">XLOOKUP(K5,'Exported Data'!$A:$A,'Exported Data'!$B:$B)</f>
        <v>0</v>
      </c>
      <c r="M5" s="7"/>
      <c r="N5" s="4"/>
    </row>
    <row r="6" ht="15.75" customHeight="1">
      <c r="A6" s="7"/>
      <c r="B6" s="9" t="s">
        <v>29</v>
      </c>
      <c r="C6" s="26" t="str">
        <f t="shared" si="1"/>
        <v>[Level 1] Roa Flower Seed Pouch</v>
      </c>
      <c r="D6" s="56">
        <f t="array" ref="D6">XLOOKUP(C6,'Exported Data'!$A:$A,'Exported Data'!$B:$B)</f>
        <v>2</v>
      </c>
      <c r="E6" s="8"/>
      <c r="F6" s="9" t="s">
        <v>100</v>
      </c>
      <c r="G6" s="26" t="str">
        <f t="shared" si="2"/>
        <v>[Level 2] Supreme Oyster Box</v>
      </c>
      <c r="H6" s="56">
        <f t="array" ref="H6">XLOOKUP(G6,'Exported Data'!$A:$A,'Exported Data'!$B:$B)</f>
        <v>65</v>
      </c>
      <c r="I6" s="8"/>
      <c r="J6" s="9" t="s">
        <v>101</v>
      </c>
      <c r="K6" s="26" t="str">
        <f t="shared" si="3"/>
        <v>[Level 6] Kamasylvian Sculpture</v>
      </c>
      <c r="L6" s="56">
        <f t="array" ref="L6">XLOOKUP(K6,'Exported Data'!$A:$A,'Exported Data'!$B:$B)</f>
        <v>0</v>
      </c>
      <c r="M6" s="7"/>
      <c r="N6" s="4"/>
    </row>
    <row r="7" ht="15.75" customHeight="1">
      <c r="A7" s="7"/>
      <c r="B7" s="9" t="s">
        <v>35</v>
      </c>
      <c r="C7" s="26" t="str">
        <f t="shared" si="1"/>
        <v>[Level 1] Golden Sand</v>
      </c>
      <c r="D7" s="56">
        <f t="array" ref="D7">XLOOKUP(C7,'Exported Data'!$A:$A,'Exported Data'!$B:$B)</f>
        <v>21</v>
      </c>
      <c r="E7" s="8"/>
      <c r="F7" s="9" t="s">
        <v>102</v>
      </c>
      <c r="G7" s="26" t="str">
        <f t="shared" si="2"/>
        <v>[Level 2] Sea Survival Kit</v>
      </c>
      <c r="H7" s="56">
        <f t="array" ref="H7">XLOOKUP(G7,'Exported Data'!$A:$A,'Exported Data'!$B:$B)</f>
        <v>70</v>
      </c>
      <c r="I7" s="8"/>
      <c r="J7" s="9" t="s">
        <v>103</v>
      </c>
      <c r="K7" s="26" t="str">
        <f t="shared" si="3"/>
        <v>[Level 6] Moonlit Crystal Lamp</v>
      </c>
      <c r="L7" s="56">
        <f t="array" ref="L7">XLOOKUP(K7,'Exported Data'!$A:$A,'Exported Data'!$B:$B)</f>
        <v>0</v>
      </c>
      <c r="M7" s="7"/>
      <c r="N7" s="4"/>
    </row>
    <row r="8" ht="15.75" customHeight="1">
      <c r="A8" s="7"/>
      <c r="B8" s="9" t="s">
        <v>40</v>
      </c>
      <c r="C8" s="26" t="str">
        <f t="shared" si="1"/>
        <v>[Level 1] Cherry Tree Seed Pouch</v>
      </c>
      <c r="D8" s="56">
        <f t="array" ref="D8">XLOOKUP(C8,'Exported Data'!$A:$A,'Exported Data'!$B:$B)</f>
        <v>1</v>
      </c>
      <c r="E8" s="39"/>
      <c r="F8" s="9" t="s">
        <v>104</v>
      </c>
      <c r="G8" s="26" t="str">
        <f t="shared" si="2"/>
        <v>[Level 2] Urchin Spine</v>
      </c>
      <c r="H8" s="56">
        <f t="array" ref="H8">XLOOKUP(G8,'Exported Data'!$A:$A,'Exported Data'!$B:$B)</f>
        <v>33</v>
      </c>
      <c r="I8" s="39"/>
      <c r="J8" s="9" t="s">
        <v>105</v>
      </c>
      <c r="K8" s="26" t="str">
        <f t="shared" si="3"/>
        <v>[Level 6] Mossy Silver Log Decoration</v>
      </c>
      <c r="L8" s="56">
        <f t="array" ref="L8">XLOOKUP(K8,'Exported Data'!$A:$A,'Exported Data'!$B:$B)</f>
        <v>0</v>
      </c>
      <c r="M8" s="7"/>
      <c r="N8" s="4"/>
    </row>
    <row r="9" ht="15.75" customHeight="1">
      <c r="A9" s="7"/>
      <c r="B9" s="9" t="s">
        <v>45</v>
      </c>
      <c r="C9" s="26" t="str">
        <f t="shared" si="1"/>
        <v>[Level 1] Ancient Urn Piece</v>
      </c>
      <c r="D9" s="56">
        <f t="array" ref="D9">XLOOKUP(C9,'Exported Data'!$A:$A,'Exported Data'!$B:$B)</f>
        <v>10</v>
      </c>
      <c r="E9" s="8"/>
      <c r="F9" s="9" t="s">
        <v>106</v>
      </c>
      <c r="G9" s="26" t="str">
        <f t="shared" si="2"/>
        <v>[Level 2] Pirate Ship Mast</v>
      </c>
      <c r="H9" s="56">
        <f t="array" ref="H9">XLOOKUP(G9,'Exported Data'!$A:$A,'Exported Data'!$B:$B)</f>
        <v>11</v>
      </c>
      <c r="I9" s="8"/>
      <c r="J9" s="9" t="s">
        <v>107</v>
      </c>
      <c r="K9" s="26" t="str">
        <f t="shared" si="3"/>
        <v>[Level 6] Black Rose Bouquet</v>
      </c>
      <c r="L9" s="56">
        <f t="array" ref="L9">XLOOKUP(K9,'Exported Data'!$A:$A,'Exported Data'!$B:$B)</f>
        <v>0</v>
      </c>
      <c r="M9" s="7"/>
      <c r="N9" s="4"/>
    </row>
    <row r="10" ht="15.75" customHeight="1">
      <c r="A10" s="7"/>
      <c r="B10" s="9" t="s">
        <v>51</v>
      </c>
      <c r="C10" s="26" t="str">
        <f t="shared" si="1"/>
        <v>[Level 1] Chewy Raw Gizzard</v>
      </c>
      <c r="D10" s="56">
        <f t="array" ref="D10">XLOOKUP(C10,'Exported Data'!$A:$A,'Exported Data'!$B:$B)</f>
        <v>3</v>
      </c>
      <c r="E10" s="8"/>
      <c r="F10" s="9" t="s">
        <v>4</v>
      </c>
      <c r="G10" s="26" t="str">
        <f t="shared" si="2"/>
        <v>[Level 2] Balanced Stone Pagoda</v>
      </c>
      <c r="H10" s="56">
        <f t="array" ref="H10">XLOOKUP(G10,'Exported Data'!$A:$A,'Exported Data'!$B:$B)</f>
        <v>58</v>
      </c>
      <c r="I10" s="8"/>
      <c r="J10" s="9" t="s">
        <v>108</v>
      </c>
      <c r="K10" s="26" t="str">
        <f t="shared" si="3"/>
        <v>[Level 6] Moonlit Crystal Shard</v>
      </c>
      <c r="L10" s="56">
        <f t="array" ref="L10">XLOOKUP(K10,'Exported Data'!$A:$A,'Exported Data'!$B:$B)</f>
        <v>0</v>
      </c>
      <c r="M10" s="7"/>
      <c r="N10" s="4"/>
    </row>
    <row r="11" ht="15.75" customHeight="1">
      <c r="A11" s="7"/>
      <c r="B11" s="9" t="s">
        <v>56</v>
      </c>
      <c r="C11" s="26" t="str">
        <f t="shared" si="1"/>
        <v>[Level 1] Raft Toy</v>
      </c>
      <c r="D11" s="56">
        <f t="array" ref="D11">XLOOKUP(C11,'Exported Data'!$A:$A,'Exported Data'!$B:$B)</f>
        <v>3</v>
      </c>
      <c r="E11" s="8"/>
      <c r="F11" s="9" t="s">
        <v>109</v>
      </c>
      <c r="G11" s="26" t="str">
        <f t="shared" si="2"/>
        <v>[Level 2] Cron Castle Gold Coin</v>
      </c>
      <c r="H11" s="56">
        <f t="array" ref="H11">XLOOKUP(G11,'Exported Data'!$A:$A,'Exported Data'!$B:$B)</f>
        <v>79</v>
      </c>
      <c r="I11" s="8"/>
      <c r="J11" s="9" t="s">
        <v>110</v>
      </c>
      <c r="K11" s="26" t="str">
        <f t="shared" si="3"/>
        <v>[Level 6] Sharp Safflower Blade Crate</v>
      </c>
      <c r="L11" s="56">
        <f t="array" ref="L11">XLOOKUP(K11,'Exported Data'!$A:$A,'Exported Data'!$B:$B)</f>
        <v>0</v>
      </c>
      <c r="M11" s="7"/>
      <c r="N11" s="4"/>
    </row>
    <row r="12" ht="15.75" customHeight="1">
      <c r="A12" s="8"/>
      <c r="B12" s="9" t="s">
        <v>60</v>
      </c>
      <c r="C12" s="26" t="str">
        <f t="shared" si="1"/>
        <v>[Level 1] Stained Seagull Figurine</v>
      </c>
      <c r="D12" s="56">
        <f t="array" ref="D12">XLOOKUP(C12,'Exported Data'!$A:$A,'Exported Data'!$B:$B)</f>
        <v>13</v>
      </c>
      <c r="E12" s="8"/>
      <c r="F12" s="9" t="s">
        <v>111</v>
      </c>
      <c r="G12" s="26" t="str">
        <f t="shared" si="2"/>
        <v>[Level 2] Opulent Marble</v>
      </c>
      <c r="H12" s="56">
        <f t="array" ref="H12">XLOOKUP(G12,'Exported Data'!$A:$A,'Exported Data'!$B:$B)</f>
        <v>45</v>
      </c>
      <c r="I12" s="8"/>
      <c r="J12" s="9" t="s">
        <v>112</v>
      </c>
      <c r="K12" s="26" t="str">
        <f t="shared" si="3"/>
        <v>[Level 6] Moonshade Aged Wine</v>
      </c>
      <c r="L12" s="56">
        <f t="array" ref="L12">XLOOKUP(K12,'Exported Data'!$A:$A,'Exported Data'!$B:$B)</f>
        <v>0</v>
      </c>
      <c r="M12" s="7"/>
      <c r="N12" s="4"/>
    </row>
    <row r="13" ht="15.75" customHeight="1">
      <c r="A13" s="8"/>
      <c r="B13" s="9" t="s">
        <v>64</v>
      </c>
      <c r="C13" s="26" t="str">
        <f t="shared" si="1"/>
        <v>[Level 1] Naval Ration</v>
      </c>
      <c r="D13" s="56">
        <f t="array" ref="D13">XLOOKUP(C13,'Exported Data'!$A:$A,'Exported Data'!$B:$B)</f>
        <v>33</v>
      </c>
      <c r="E13" s="8"/>
      <c r="F13" s="9" t="s">
        <v>113</v>
      </c>
      <c r="G13" s="26" t="str">
        <f t="shared" si="2"/>
        <v>[Level 2] Narvo Sea Cucumber</v>
      </c>
      <c r="H13" s="56">
        <f t="array" ref="H13">XLOOKUP(G13,'Exported Data'!$A:$A,'Exported Data'!$B:$B)</f>
        <v>20</v>
      </c>
      <c r="I13" s="8"/>
      <c r="J13" s="9" t="s">
        <v>114</v>
      </c>
      <c r="K13" s="26" t="str">
        <f t="shared" si="3"/>
        <v>[Level 6] Shadow Ornament Mirror</v>
      </c>
      <c r="L13" s="56">
        <f t="array" ref="L13">XLOOKUP(K13,'Exported Data'!$A:$A,'Exported Data'!$B:$B)</f>
        <v>0</v>
      </c>
      <c r="M13" s="7"/>
      <c r="N13" s="4"/>
    </row>
    <row r="14" ht="19.5" customHeight="1">
      <c r="A14" s="8"/>
      <c r="B14" s="9" t="s">
        <v>68</v>
      </c>
      <c r="C14" s="26" t="str">
        <f t="shared" si="1"/>
        <v>[Level 1] Giant Fish Bone</v>
      </c>
      <c r="D14" s="56">
        <f t="array" ref="D14">XLOOKUP(C14,'Exported Data'!$A:$A,'Exported Data'!$B:$B)</f>
        <v>23</v>
      </c>
      <c r="E14" s="8"/>
      <c r="F14" s="9" t="s">
        <v>115</v>
      </c>
      <c r="G14" s="26" t="str">
        <f t="shared" si="2"/>
        <v>[Level 2] Island Tree Coated Plywood</v>
      </c>
      <c r="H14" s="56">
        <f t="array" ref="H14">XLOOKUP(G14,'Exported Data'!$A:$A,'Exported Data'!$B:$B)</f>
        <v>30</v>
      </c>
      <c r="I14" s="8"/>
      <c r="J14" s="9" t="s">
        <v>116</v>
      </c>
      <c r="K14" s="26" t="str">
        <f t="shared" si="3"/>
        <v>[Level 6] Bamboo Sap Crate</v>
      </c>
      <c r="L14" s="56">
        <f t="array" ref="L14">XLOOKUP(K14,'Exported Data'!$A:$A,'Exported Data'!$B:$B)</f>
        <v>0</v>
      </c>
      <c r="M14" s="7"/>
      <c r="N14" s="4"/>
    </row>
    <row r="15" ht="19.5" customHeight="1">
      <c r="A15" s="8"/>
      <c r="B15" s="9" t="s">
        <v>72</v>
      </c>
      <c r="C15" s="26" t="str">
        <f t="shared" si="1"/>
        <v>[Level 1] Dried Blue Rose</v>
      </c>
      <c r="D15" s="56">
        <f t="array" ref="D15">XLOOKUP(C15,'Exported Data'!$A:$A,'Exported Data'!$B:$B)</f>
        <v>22</v>
      </c>
      <c r="E15" s="8"/>
      <c r="F15" s="9" t="s">
        <v>117</v>
      </c>
      <c r="G15" s="26" t="str">
        <f t="shared" si="2"/>
        <v>[Level 2] Conch Shell Ornament</v>
      </c>
      <c r="H15" s="56">
        <f t="array" ref="H15">XLOOKUP(G15,'Exported Data'!$A:$A,'Exported Data'!$B:$B)</f>
        <v>30</v>
      </c>
      <c r="I15" s="8"/>
      <c r="J15" s="9" t="s">
        <v>118</v>
      </c>
      <c r="K15" s="26" t="str">
        <f t="shared" si="3"/>
        <v>[Level 6] Nampo Persimmon Crate</v>
      </c>
      <c r="L15" s="56">
        <f t="array" ref="L15">XLOOKUP(K15,'Exported Data'!$A:$A,'Exported Data'!$B:$B)</f>
        <v>5</v>
      </c>
      <c r="M15" s="7"/>
      <c r="N15" s="4"/>
    </row>
    <row r="16" ht="19.5" customHeight="1">
      <c r="A16" s="8"/>
      <c r="B16" s="9"/>
      <c r="C16" s="26"/>
      <c r="D16" s="27"/>
      <c r="E16" s="8"/>
      <c r="F16" s="9"/>
      <c r="G16" s="26"/>
      <c r="H16" s="56"/>
      <c r="I16" s="8"/>
      <c r="J16" s="9" t="s">
        <v>119</v>
      </c>
      <c r="K16" s="26" t="str">
        <f t="shared" si="3"/>
        <v>[Level 6] High-quality Ink-scented Box</v>
      </c>
      <c r="L16" s="56">
        <f t="array" ref="L16">XLOOKUP(K16,'Exported Data'!$A:$A,'Exported Data'!$B:$B)</f>
        <v>0</v>
      </c>
      <c r="M16" s="7"/>
      <c r="N16" s="4"/>
    </row>
    <row r="17" ht="19.5" customHeight="1">
      <c r="A17" s="7"/>
      <c r="B17" s="7"/>
      <c r="C17" s="7"/>
      <c r="D17" s="7"/>
      <c r="E17" s="7"/>
      <c r="F17" s="7"/>
      <c r="G17" s="7"/>
      <c r="H17" s="7"/>
      <c r="I17" s="7"/>
      <c r="J17" s="9" t="s">
        <v>120</v>
      </c>
      <c r="K17" s="26" t="str">
        <f t="shared" si="3"/>
        <v>[Level 6] Hanji Country Wild Berry Crate</v>
      </c>
      <c r="L17" s="56">
        <f t="array" ref="L17">XLOOKUP(K17,'Exported Data'!$A:$A,'Exported Data'!$B:$B)</f>
        <v>0</v>
      </c>
      <c r="M17" s="7"/>
      <c r="N17" s="4"/>
    </row>
    <row r="18" ht="15.75" customHeight="1">
      <c r="A18" s="7"/>
      <c r="B18" s="12"/>
      <c r="C18" s="15" t="s">
        <v>6</v>
      </c>
      <c r="D18" s="16"/>
      <c r="E18" s="12"/>
      <c r="F18" s="17"/>
      <c r="G18" s="18" t="s">
        <v>7</v>
      </c>
      <c r="H18" s="19"/>
      <c r="I18" s="7"/>
      <c r="J18" s="9" t="s">
        <v>121</v>
      </c>
      <c r="K18" s="26" t="str">
        <f t="shared" si="3"/>
        <v>[Level 6] Top-Quality Blue Underglaze Porcelain</v>
      </c>
      <c r="L18" s="56">
        <f t="array" ref="L18">XLOOKUP(K18,'Exported Data'!$A:$A,'Exported Data'!$B:$B)</f>
        <v>0</v>
      </c>
      <c r="M18" s="7"/>
      <c r="N18" s="7"/>
    </row>
    <row r="19" ht="19.5" customHeight="1">
      <c r="A19" s="7"/>
      <c r="B19" s="17" t="s">
        <v>16</v>
      </c>
      <c r="C19" s="26" t="str">
        <f t="shared" ref="C19:C32" si="4">B19</f>
        <v>[Level 3] Ancient Orders</v>
      </c>
      <c r="D19" s="56">
        <f t="array" ref="D19">XLOOKUP(C19,'Exported Data'!$A:$A,'Exported Data'!$B:$B)</f>
        <v>28</v>
      </c>
      <c r="E19" s="8"/>
      <c r="F19" s="17" t="s">
        <v>47</v>
      </c>
      <c r="G19" s="26" t="str">
        <f t="shared" ref="G19:G32" si="5">F19</f>
        <v>[Level 4] Green Salt Lump</v>
      </c>
      <c r="H19" s="56">
        <f t="array" ref="H19">XLOOKUP(G19,'Exported Data'!$A:$A,'Exported Data'!$B:$B)</f>
        <v>17</v>
      </c>
      <c r="I19" s="7"/>
      <c r="J19" s="9" t="s">
        <v>122</v>
      </c>
      <c r="K19" s="26" t="str">
        <f t="shared" si="3"/>
        <v>[Level 6] Top-Quality Gamtu Crate</v>
      </c>
      <c r="L19" s="56">
        <f t="array" ref="L19">XLOOKUP(K19,'Exported Data'!$A:$A,'Exported Data'!$B:$B)</f>
        <v>4</v>
      </c>
      <c r="M19" s="7"/>
      <c r="N19" s="7"/>
    </row>
    <row r="20" ht="19.5" customHeight="1">
      <c r="A20" s="7"/>
      <c r="B20" s="17" t="s">
        <v>12</v>
      </c>
      <c r="C20" s="26" t="str">
        <f t="shared" si="4"/>
        <v>[Level 3] Blue Candle Bundle</v>
      </c>
      <c r="D20" s="56">
        <f t="array" ref="D20">XLOOKUP(C20,'Exported Data'!$A:$A,'Exported Data'!$B:$B)</f>
        <v>34</v>
      </c>
      <c r="E20" s="8"/>
      <c r="F20" s="17" t="s">
        <v>123</v>
      </c>
      <c r="G20" s="26" t="str">
        <f t="shared" si="5"/>
        <v>[Level 4] Panacea</v>
      </c>
      <c r="H20" s="56">
        <f t="array" ref="H20">XLOOKUP(G20,'Exported Data'!$A:$A,'Exported Data'!$B:$B)</f>
        <v>81</v>
      </c>
      <c r="I20" s="7"/>
      <c r="J20" s="9" t="s">
        <v>124</v>
      </c>
      <c r="K20" s="26" t="str">
        <f t="shared" si="3"/>
        <v>[Level 6] Brass Bowl Crate</v>
      </c>
      <c r="L20" s="56">
        <f t="array" ref="L20">XLOOKUP(K20,'Exported Data'!$A:$A,'Exported Data'!$B:$B)</f>
        <v>0</v>
      </c>
      <c r="M20" s="7"/>
      <c r="N20" s="7"/>
    </row>
    <row r="21" ht="19.5" customHeight="1">
      <c r="A21" s="7"/>
      <c r="B21" s="17" t="s">
        <v>24</v>
      </c>
      <c r="C21" s="26" t="str">
        <f t="shared" si="4"/>
        <v>[Level 3] Lopters Fishnet</v>
      </c>
      <c r="D21" s="56">
        <f t="array" ref="D21">XLOOKUP(C21,'Exported Data'!$A:$A,'Exported Data'!$B:$B)</f>
        <v>72</v>
      </c>
      <c r="E21" s="8"/>
      <c r="F21" s="17" t="s">
        <v>58</v>
      </c>
      <c r="G21" s="26" t="str">
        <f t="shared" si="5"/>
        <v>[Level 4] Marine Knights' Spear</v>
      </c>
      <c r="H21" s="56">
        <f t="array" ref="H21">XLOOKUP(G21,'Exported Data'!$A:$A,'Exported Data'!$B:$B)</f>
        <v>28</v>
      </c>
      <c r="I21" s="7"/>
      <c r="J21" s="9" t="s">
        <v>125</v>
      </c>
      <c r="K21" s="26" t="str">
        <f t="shared" si="3"/>
        <v>[Level 6] Valencia Sand Shield</v>
      </c>
      <c r="L21" s="56">
        <f t="array" ref="L21">XLOOKUP(K21,'Exported Data'!$A:$A,'Exported Data'!$B:$B)</f>
        <v>0</v>
      </c>
      <c r="M21" s="7"/>
      <c r="N21" s="7"/>
    </row>
    <row r="22" ht="19.5" customHeight="1">
      <c r="A22" s="7"/>
      <c r="B22" s="17" t="s">
        <v>65</v>
      </c>
      <c r="C22" s="26" t="str">
        <f t="shared" si="4"/>
        <v>[Level 3] Scout Binoculars</v>
      </c>
      <c r="D22" s="56">
        <f t="array" ref="D22">XLOOKUP(C22,'Exported Data'!$A:$A,'Exported Data'!$B:$B)</f>
        <v>55</v>
      </c>
      <c r="E22" s="8"/>
      <c r="F22" s="17" t="s">
        <v>74</v>
      </c>
      <c r="G22" s="26" t="str">
        <f t="shared" si="5"/>
        <v>[Level 4] Marine Knights' Helm</v>
      </c>
      <c r="H22" s="56">
        <f t="array" ref="H22">XLOOKUP(G22,'Exported Data'!$A:$A,'Exported Data'!$B:$B)</f>
        <v>27</v>
      </c>
      <c r="I22" s="7"/>
      <c r="J22" s="9" t="s">
        <v>126</v>
      </c>
      <c r="K22" s="26" t="str">
        <f t="shared" si="3"/>
        <v>[Level 6] Valencian Desert Fine Sword</v>
      </c>
      <c r="L22" s="56">
        <f t="array" ref="L22">XLOOKUP(K22,'Exported Data'!$A:$A,'Exported Data'!$B:$B)</f>
        <v>0</v>
      </c>
      <c r="M22" s="7"/>
      <c r="N22" s="7"/>
    </row>
    <row r="23" ht="19.5" customHeight="1">
      <c r="A23" s="7"/>
      <c r="B23" s="17" t="s">
        <v>73</v>
      </c>
      <c r="C23" s="26" t="str">
        <f t="shared" si="4"/>
        <v>[Level 3] Torn Pirate Treasure Map</v>
      </c>
      <c r="D23" s="56">
        <f t="array" ref="D23">XLOOKUP(C23,'Exported Data'!$A:$A,'Exported Data'!$B:$B)</f>
        <v>26</v>
      </c>
      <c r="E23" s="8"/>
      <c r="F23" s="17" t="s">
        <v>42</v>
      </c>
      <c r="G23" s="26" t="str">
        <f t="shared" si="5"/>
        <v>[Level 4] Boatman's Manual</v>
      </c>
      <c r="H23" s="56">
        <f t="array" ref="H23">XLOOKUP(G23,'Exported Data'!$A:$A,'Exported Data'!$B:$B)</f>
        <v>42</v>
      </c>
      <c r="I23" s="7"/>
      <c r="J23" s="9" t="s">
        <v>127</v>
      </c>
      <c r="K23" s="26" t="str">
        <f t="shared" si="3"/>
        <v>[Level 6] Fancy Camel Hide</v>
      </c>
      <c r="L23" s="56">
        <f t="array" ref="L23">XLOOKUP(K23,'Exported Data'!$A:$A,'Exported Data'!$B:$B)</f>
        <v>0</v>
      </c>
      <c r="M23" s="7"/>
      <c r="N23" s="7"/>
    </row>
    <row r="24" ht="19.5" customHeight="1">
      <c r="A24" s="7"/>
      <c r="B24" s="17" t="s">
        <v>57</v>
      </c>
      <c r="C24" s="26" t="str">
        <f t="shared" si="4"/>
        <v>[Level 3] Skull Decorated Teacup</v>
      </c>
      <c r="D24" s="56">
        <f t="array" ref="D24">XLOOKUP(C24,'Exported Data'!$A:$A,'Exported Data'!$B:$B)</f>
        <v>70</v>
      </c>
      <c r="E24" s="39"/>
      <c r="F24" s="17" t="s">
        <v>31</v>
      </c>
      <c r="G24" s="26" t="str">
        <f t="shared" si="5"/>
        <v>[Level 4] Old Chest with Gold Coins</v>
      </c>
      <c r="H24" s="56">
        <f t="array" ref="H24">XLOOKUP(G24,'Exported Data'!$A:$A,'Exported Data'!$B:$B)</f>
        <v>38</v>
      </c>
      <c r="I24" s="7"/>
      <c r="J24" s="9" t="s">
        <v>128</v>
      </c>
      <c r="K24" s="26" t="str">
        <f t="shared" si="3"/>
        <v>[Level 6] Golden Sand Ring</v>
      </c>
      <c r="L24" s="56">
        <f t="array" ref="L24">XLOOKUP(K24,'Exported Data'!$A:$A,'Exported Data'!$B:$B)</f>
        <v>0</v>
      </c>
      <c r="M24" s="7"/>
      <c r="N24" s="7"/>
    </row>
    <row r="25" ht="19.5" customHeight="1">
      <c r="A25" s="7"/>
      <c r="B25" s="17" t="s">
        <v>69</v>
      </c>
      <c r="C25" s="26" t="str">
        <f t="shared" si="4"/>
        <v>[Level 3] Pirates' Supply Box</v>
      </c>
      <c r="D25" s="56">
        <f t="array" ref="D25">XLOOKUP(C25,'Exported Data'!$A:$A,'Exported Data'!$B:$B)</f>
        <v>44</v>
      </c>
      <c r="E25" s="8"/>
      <c r="F25" s="17" t="s">
        <v>25</v>
      </c>
      <c r="G25" s="26" t="str">
        <f t="shared" si="5"/>
        <v>[Level 4] Headless Dragon Figurine</v>
      </c>
      <c r="H25" s="56">
        <f t="array" ref="H25">XLOOKUP(G25,'Exported Data'!$A:$A,'Exported Data'!$B:$B)</f>
        <v>26</v>
      </c>
      <c r="I25" s="7"/>
      <c r="J25" s="9" t="s">
        <v>129</v>
      </c>
      <c r="K25" s="26" t="str">
        <f t="shared" si="3"/>
        <v>[Level 6] Top-Quality Coconut Syrup</v>
      </c>
      <c r="L25" s="56">
        <f t="array" ref="L25">XLOOKUP(K25,'Exported Data'!$A:$A,'Exported Data'!$B:$B)</f>
        <v>0</v>
      </c>
      <c r="M25" s="7"/>
      <c r="N25" s="7"/>
    </row>
    <row r="26" ht="19.5" customHeight="1">
      <c r="A26" s="7"/>
      <c r="B26" s="17" t="s">
        <v>30</v>
      </c>
      <c r="C26" s="26" t="str">
        <f t="shared" si="4"/>
        <v>[Level 3] Rare Herb Pile</v>
      </c>
      <c r="D26" s="56">
        <f t="array" ref="D26">XLOOKUP(C26,'Exported Data'!$A:$A,'Exported Data'!$B:$B)</f>
        <v>21</v>
      </c>
      <c r="E26" s="8"/>
      <c r="F26" s="17" t="s">
        <v>53</v>
      </c>
      <c r="G26" s="26" t="str">
        <f t="shared" si="5"/>
        <v>[Level 4] Solidified Lava</v>
      </c>
      <c r="H26" s="56">
        <f t="array" ref="H26">XLOOKUP(G26,'Exported Data'!$A:$A,'Exported Data'!$B:$B)</f>
        <v>20</v>
      </c>
      <c r="I26" s="7"/>
      <c r="J26" s="57" t="s">
        <v>130</v>
      </c>
      <c r="K26" s="26" t="str">
        <f t="shared" si="3"/>
        <v>[Level 6] Traditional Arehazan Tea</v>
      </c>
      <c r="L26" s="56">
        <f t="array" ref="L26">XLOOKUP(K26,'Exported Data'!$A:$A,'Exported Data'!$B:$B)</f>
        <v>0</v>
      </c>
      <c r="M26" s="7"/>
      <c r="N26" s="7"/>
    </row>
    <row r="27" ht="19.5" customHeight="1">
      <c r="A27" s="7"/>
      <c r="B27" s="17" t="s">
        <v>52</v>
      </c>
      <c r="C27" s="26" t="str">
        <f t="shared" si="4"/>
        <v>[Level 3] Round Knife</v>
      </c>
      <c r="D27" s="56">
        <f t="array" ref="D27">XLOOKUP(C27,'Exported Data'!$A:$A,'Exported Data'!$B:$B)</f>
        <v>39</v>
      </c>
      <c r="E27" s="8"/>
      <c r="F27" s="17" t="s">
        <v>17</v>
      </c>
      <c r="G27" s="26" t="str">
        <f t="shared" si="5"/>
        <v>[Level 4] Bronze Candlestick</v>
      </c>
      <c r="H27" s="56">
        <f t="array" ref="H27">XLOOKUP(G27,'Exported Data'!$A:$A,'Exported Data'!$B:$B)</f>
        <v>4</v>
      </c>
      <c r="I27" s="7"/>
      <c r="J27" s="7"/>
      <c r="K27" s="7"/>
      <c r="L27" s="7"/>
      <c r="M27" s="7"/>
      <c r="N27" s="7"/>
    </row>
    <row r="28" ht="19.5" customHeight="1">
      <c r="A28" s="7"/>
      <c r="B28" s="17" t="s">
        <v>41</v>
      </c>
      <c r="C28" s="26" t="str">
        <f t="shared" si="4"/>
        <v>[Level 3] Weasel Leather Coat</v>
      </c>
      <c r="D28" s="56">
        <f t="array" ref="D28">XLOOKUP(C28,'Exported Data'!$A:$A,'Exported Data'!$B:$B)</f>
        <v>52</v>
      </c>
      <c r="E28" s="8"/>
      <c r="F28" s="17" t="s">
        <v>70</v>
      </c>
      <c r="G28" s="26" t="str">
        <f t="shared" si="5"/>
        <v>[Level 4] Stolen Pirate Dagger</v>
      </c>
      <c r="H28" s="56">
        <f t="array" ref="H28">XLOOKUP(G28,'Exported Data'!$A:$A,'Exported Data'!$B:$B)</f>
        <v>28</v>
      </c>
      <c r="I28" s="7"/>
      <c r="J28" s="8"/>
      <c r="K28" s="58" t="s">
        <v>131</v>
      </c>
      <c r="L28" s="58"/>
      <c r="M28" s="7"/>
      <c r="N28" s="7"/>
    </row>
    <row r="29" ht="19.5" customHeight="1">
      <c r="A29" s="7"/>
      <c r="B29" s="17" t="s">
        <v>46</v>
      </c>
      <c r="C29" s="26" t="str">
        <f t="shared" si="4"/>
        <v>[Level 3] Gooey Monster Blood</v>
      </c>
      <c r="D29" s="56">
        <f t="array" ref="D29">XLOOKUP(C29,'Exported Data'!$A:$A,'Exported Data'!$B:$B)</f>
        <v>33</v>
      </c>
      <c r="E29" s="8"/>
      <c r="F29" s="17" t="s">
        <v>37</v>
      </c>
      <c r="G29" s="26" t="str">
        <f t="shared" si="5"/>
        <v>[Level 4] Seashell Deco</v>
      </c>
      <c r="H29" s="56">
        <f t="array" ref="H29">XLOOKUP(G29,'Exported Data'!$A:$A,'Exported Data'!$B:$B)</f>
        <v>15</v>
      </c>
      <c r="I29" s="7"/>
      <c r="J29" s="9" t="s">
        <v>132</v>
      </c>
      <c r="K29" s="26" t="str">
        <f t="shared" ref="K29:K52" si="6">J29</f>
        <v>[Level 7] Artisan's Seashell Necklace</v>
      </c>
      <c r="L29" s="56">
        <f t="array" ref="L29">XLOOKUP(K29,'Exported Data'!$A:$A,'Exported Data'!$B:$B)</f>
        <v>0</v>
      </c>
      <c r="M29" s="7"/>
      <c r="N29" s="7"/>
    </row>
    <row r="30" ht="19.5" customHeight="1">
      <c r="A30" s="7"/>
      <c r="B30" s="17" t="s">
        <v>61</v>
      </c>
      <c r="C30" s="26" t="str">
        <f t="shared" si="4"/>
        <v>[Level 3] Stalactite Fragment</v>
      </c>
      <c r="D30" s="56">
        <f t="array" ref="D30">XLOOKUP(C30,'Exported Data'!$A:$A,'Exported Data'!$B:$B)</f>
        <v>69</v>
      </c>
      <c r="E30" s="8"/>
      <c r="F30" s="17" t="s">
        <v>13</v>
      </c>
      <c r="G30" s="26" t="str">
        <f t="shared" si="5"/>
        <v>[Level 4] Pirate's Key</v>
      </c>
      <c r="H30" s="56">
        <f t="array" ref="H30">XLOOKUP(G30,'Exported Data'!$A:$A,'Exported Data'!$B:$B)</f>
        <v>26</v>
      </c>
      <c r="I30" s="7"/>
      <c r="J30" s="9" t="s">
        <v>133</v>
      </c>
      <c r="K30" s="26" t="str">
        <f t="shared" si="6"/>
        <v>[Level 7] Balenosian Sailor's Telescope</v>
      </c>
      <c r="L30" s="56">
        <f t="array" ref="L30">XLOOKUP(K30,'Exported Data'!$A:$A,'Exported Data'!$B:$B)</f>
        <v>0</v>
      </c>
      <c r="M30" s="7"/>
      <c r="N30" s="7"/>
    </row>
    <row r="31" ht="19.5" customHeight="1">
      <c r="A31" s="7"/>
      <c r="B31" s="17" t="s">
        <v>79</v>
      </c>
      <c r="C31" s="26" t="str">
        <f t="shared" si="4"/>
        <v>[Level 3] Old Hourglass</v>
      </c>
      <c r="D31" s="56">
        <f t="array" ref="D31">XLOOKUP(C31,'Exported Data'!$A:$A,'Exported Data'!$B:$B)</f>
        <v>21</v>
      </c>
      <c r="E31" s="8"/>
      <c r="F31" s="17" t="s">
        <v>66</v>
      </c>
      <c r="G31" s="26" t="str">
        <f t="shared" si="5"/>
        <v>[Level 4] Opulent Thread Spool</v>
      </c>
      <c r="H31" s="56">
        <f t="array" ref="H31">XLOOKUP(G31,'Exported Data'!$A:$A,'Exported Data'!$B:$B)</f>
        <v>21</v>
      </c>
      <c r="I31" s="7"/>
      <c r="J31" s="9" t="s">
        <v>134</v>
      </c>
      <c r="K31" s="26" t="str">
        <f t="shared" si="6"/>
        <v>[Level 7] Balenos Whale Sculpture</v>
      </c>
      <c r="L31" s="56">
        <f t="array" ref="L31">XLOOKUP(K31,'Exported Data'!$A:$A,'Exported Data'!$B:$B)</f>
        <v>0</v>
      </c>
      <c r="M31" s="7"/>
      <c r="N31" s="7"/>
    </row>
    <row r="32" ht="19.5" customHeight="1">
      <c r="A32" s="7"/>
      <c r="B32" s="17" t="s">
        <v>36</v>
      </c>
      <c r="C32" s="26" t="str">
        <f t="shared" si="4"/>
        <v>[Level 3] Skull Symbol Carpet</v>
      </c>
      <c r="D32" s="56">
        <f t="array" ref="D32">XLOOKUP(C32,'Exported Data'!$A:$A,'Exported Data'!$B:$B)</f>
        <v>75</v>
      </c>
      <c r="E32" s="8"/>
      <c r="F32" s="17" t="s">
        <v>62</v>
      </c>
      <c r="G32" s="26" t="str">
        <f t="shared" si="5"/>
        <v>[Level 4] Amethyst Fragment</v>
      </c>
      <c r="H32" s="56">
        <f t="array" ref="H32">XLOOKUP(G32,'Exported Data'!$A:$A,'Exported Data'!$B:$B)</f>
        <v>24</v>
      </c>
      <c r="I32" s="7"/>
      <c r="J32" s="9" t="s">
        <v>135</v>
      </c>
      <c r="K32" s="26" t="str">
        <f t="shared" si="6"/>
        <v>[Level 7] Balenos Salt Flower</v>
      </c>
      <c r="L32" s="56">
        <f t="array" ref="L32">XLOOKUP(K32,'Exported Data'!$A:$A,'Exported Data'!$B:$B)</f>
        <v>4</v>
      </c>
      <c r="M32" s="7"/>
      <c r="N32" s="7"/>
    </row>
    <row r="33" ht="19.5" customHeight="1">
      <c r="A33" s="7"/>
      <c r="B33" s="7"/>
      <c r="C33" s="7"/>
      <c r="D33" s="7"/>
      <c r="E33" s="7"/>
      <c r="F33" s="7"/>
      <c r="G33" s="7"/>
      <c r="H33" s="7"/>
      <c r="I33" s="7"/>
      <c r="J33" s="9" t="s">
        <v>136</v>
      </c>
      <c r="K33" s="26" t="str">
        <f t="shared" si="6"/>
        <v>[Level 7] Balenos Starlight Salt</v>
      </c>
      <c r="L33" s="56">
        <f t="array" ref="L33">XLOOKUP(K33,'Exported Data'!$A:$A,'Exported Data'!$B:$B)</f>
        <v>0</v>
      </c>
      <c r="M33" s="7"/>
      <c r="N33" s="7"/>
    </row>
    <row r="34" ht="19.5" customHeight="1">
      <c r="A34" s="7"/>
      <c r="B34" s="17"/>
      <c r="C34" s="20" t="s">
        <v>8</v>
      </c>
      <c r="D34" s="21"/>
      <c r="E34" s="7"/>
      <c r="F34" s="7"/>
      <c r="G34" s="7"/>
      <c r="H34" s="7"/>
      <c r="I34" s="7"/>
      <c r="J34" s="9" t="s">
        <v>137</v>
      </c>
      <c r="K34" s="26" t="str">
        <f t="shared" si="6"/>
        <v>[Level 7] Balenos Relic Fragment</v>
      </c>
      <c r="L34" s="56">
        <f t="array" ref="L34">XLOOKUP(K34,'Exported Data'!$A:$A,'Exported Data'!$B:$B)</f>
        <v>5</v>
      </c>
      <c r="M34" s="7"/>
      <c r="N34" s="7"/>
    </row>
    <row r="35" ht="19.5" customHeight="1">
      <c r="A35" s="7"/>
      <c r="B35" s="17" t="s">
        <v>48</v>
      </c>
      <c r="C35" s="26" t="str">
        <f t="shared" ref="C35:C48" si="7">B35</f>
        <v>[Level 5] Statue's Tear</v>
      </c>
      <c r="D35" s="56">
        <f t="array" ref="D35">XLOOKUP(C35,'Exported Data'!$A:$A,'Exported Data'!$B:$B)</f>
        <v>6</v>
      </c>
      <c r="E35" s="7"/>
      <c r="F35" s="7"/>
      <c r="G35" s="7"/>
      <c r="H35" s="7"/>
      <c r="I35" s="7"/>
      <c r="J35" s="9" t="s">
        <v>138</v>
      </c>
      <c r="K35" s="26" t="str">
        <f t="shared" si="6"/>
        <v>[Level 7] Balenos Rainbow Coral</v>
      </c>
      <c r="L35" s="56">
        <f t="array" ref="L35">XLOOKUP(K35,'Exported Data'!$A:$A,'Exported Data'!$B:$B)</f>
        <v>0</v>
      </c>
      <c r="M35" s="7"/>
      <c r="N35" s="7"/>
    </row>
    <row r="36" ht="19.5" customHeight="1">
      <c r="A36" s="7"/>
      <c r="B36" s="17" t="s">
        <v>71</v>
      </c>
      <c r="C36" s="26" t="str">
        <f t="shared" si="7"/>
        <v>[Level 5] Mysterious Rock</v>
      </c>
      <c r="D36" s="56">
        <f t="array" ref="D36">XLOOKUP(C36,'Exported Data'!$A:$A,'Exported Data'!$B:$B)</f>
        <v>4</v>
      </c>
      <c r="E36" s="7"/>
      <c r="F36" s="7"/>
      <c r="G36" s="7"/>
      <c r="H36" s="7"/>
      <c r="I36" s="7"/>
      <c r="J36" s="9" t="s">
        <v>139</v>
      </c>
      <c r="K36" s="26" t="str">
        <f t="shared" si="6"/>
        <v>[Level 7] Rainbow Sea Crystal Piece</v>
      </c>
      <c r="L36" s="56">
        <f t="array" ref="L36">XLOOKUP(K36,'Exported Data'!$A:$A,'Exported Data'!$B:$B)</f>
        <v>0</v>
      </c>
      <c r="M36" s="7"/>
      <c r="N36" s="7"/>
    </row>
    <row r="37" ht="19.5" customHeight="1">
      <c r="A37" s="7"/>
      <c r="B37" s="17" t="s">
        <v>14</v>
      </c>
      <c r="C37" s="26" t="str">
        <f t="shared" si="7"/>
        <v>[Level 5] Portrait of the Ancient</v>
      </c>
      <c r="D37" s="56">
        <f t="array" ref="D37">XLOOKUP(C37,'Exported Data'!$A:$A,'Exported Data'!$B:$B)</f>
        <v>3</v>
      </c>
      <c r="E37" s="7"/>
      <c r="F37" s="7"/>
      <c r="G37" s="7"/>
      <c r="H37" s="7"/>
      <c r="I37" s="7"/>
      <c r="J37" s="9" t="s">
        <v>140</v>
      </c>
      <c r="K37" s="26" t="str">
        <f t="shared" si="6"/>
        <v>[Level 7] Top-Quality Heidelian Wine</v>
      </c>
      <c r="L37" s="56">
        <f t="array" ref="L37">XLOOKUP(K37,'Exported Data'!$A:$A,'Exported Data'!$B:$B)</f>
        <v>0</v>
      </c>
      <c r="M37" s="7"/>
      <c r="N37" s="7"/>
    </row>
    <row r="38" ht="19.5" customHeight="1">
      <c r="A38" s="7"/>
      <c r="B38" s="17" t="s">
        <v>18</v>
      </c>
      <c r="C38" s="26" t="str">
        <f t="shared" si="7"/>
        <v>[Level 5] 102 Year Old Golden Herb</v>
      </c>
      <c r="D38" s="56">
        <f t="array" ref="D38">XLOOKUP(C38,'Exported Data'!$A:$A,'Exported Data'!$B:$B)</f>
        <v>6</v>
      </c>
      <c r="E38" s="7"/>
      <c r="F38" s="7"/>
      <c r="G38" s="7"/>
      <c r="H38" s="7"/>
      <c r="I38" s="7"/>
      <c r="J38" s="9" t="s">
        <v>141</v>
      </c>
      <c r="K38" s="26" t="str">
        <f t="shared" si="6"/>
        <v>[Level 7] Golden Flour Sack</v>
      </c>
      <c r="L38" s="56">
        <f t="array" ref="L38">XLOOKUP(K38,'Exported Data'!$A:$A,'Exported Data'!$B:$B)</f>
        <v>5</v>
      </c>
      <c r="M38" s="7"/>
      <c r="N38" s="7"/>
    </row>
    <row r="39" ht="19.5" customHeight="1">
      <c r="A39" s="7"/>
      <c r="B39" s="17" t="s">
        <v>54</v>
      </c>
      <c r="C39" s="26" t="str">
        <f t="shared" si="7"/>
        <v>[Level 5] Stuffed Morpho Butterfly</v>
      </c>
      <c r="D39" s="56">
        <f t="array" ref="D39">XLOOKUP(C39,'Exported Data'!$A:$A,'Exported Data'!$B:$B)</f>
        <v>6</v>
      </c>
      <c r="E39" s="7"/>
      <c r="F39" s="7"/>
      <c r="G39" s="7"/>
      <c r="H39" s="7"/>
      <c r="I39" s="7"/>
      <c r="J39" s="9" t="s">
        <v>142</v>
      </c>
      <c r="K39" s="26" t="str">
        <f t="shared" si="6"/>
        <v>[Level 7] Organic Honey Crate</v>
      </c>
      <c r="L39" s="56">
        <f t="array" ref="L39">XLOOKUP(K39,'Exported Data'!$A:$A,'Exported Data'!$B:$B)</f>
        <v>0</v>
      </c>
      <c r="M39" s="7"/>
      <c r="N39" s="7"/>
    </row>
    <row r="40" ht="19.5" customHeight="1">
      <c r="A40" s="7"/>
      <c r="B40" s="17" t="s">
        <v>43</v>
      </c>
      <c r="C40" s="26" t="str">
        <f t="shared" si="7"/>
        <v>[Level 5] Supreme Gold Candlestick</v>
      </c>
      <c r="D40" s="56">
        <f t="array" ref="D40">XLOOKUP(C40,'Exported Data'!$A:$A,'Exported Data'!$B:$B)</f>
        <v>1</v>
      </c>
      <c r="E40" s="7"/>
      <c r="F40" s="7"/>
      <c r="G40" s="7"/>
      <c r="H40" s="7"/>
      <c r="I40" s="7"/>
      <c r="J40" s="9" t="s">
        <v>143</v>
      </c>
      <c r="K40" s="26" t="str">
        <f t="shared" si="6"/>
        <v>[Level 7] Traditional Balenos Decorative Anchor</v>
      </c>
      <c r="L40" s="56">
        <f t="array" ref="L40">XLOOKUP(K40,'Exported Data'!$A:$A,'Exported Data'!$B:$B)</f>
        <v>0</v>
      </c>
      <c r="M40" s="7"/>
      <c r="N40" s="7"/>
    </row>
    <row r="41" ht="19.5" customHeight="1">
      <c r="A41" s="7"/>
      <c r="B41" s="17" t="s">
        <v>67</v>
      </c>
      <c r="C41" s="26" t="str">
        <f t="shared" si="7"/>
        <v>[Level 5] Octagonal Box</v>
      </c>
      <c r="D41" s="56">
        <f t="array" ref="D41">XLOOKUP(C41,'Exported Data'!$A:$A,'Exported Data'!$B:$B)</f>
        <v>5</v>
      </c>
      <c r="E41" s="7"/>
      <c r="F41" s="7"/>
      <c r="G41" s="7"/>
      <c r="H41" s="7"/>
      <c r="I41" s="7"/>
      <c r="J41" s="9" t="s">
        <v>144</v>
      </c>
      <c r="K41" s="26" t="str">
        <f t="shared" si="6"/>
        <v>[Level 7] Golden Eagle Brooch</v>
      </c>
      <c r="L41" s="56">
        <f t="array" ref="L41">XLOOKUP(K41,'Exported Data'!$A:$A,'Exported Data'!$B:$B)</f>
        <v>0</v>
      </c>
      <c r="M41" s="7"/>
      <c r="N41" s="7"/>
    </row>
    <row r="42" ht="19.5" customHeight="1">
      <c r="A42" s="7"/>
      <c r="B42" s="17" t="s">
        <v>26</v>
      </c>
      <c r="C42" s="26" t="str">
        <f t="shared" si="7"/>
        <v>[Level 5] Golden Fish Scale</v>
      </c>
      <c r="D42" s="56">
        <f t="array" ref="D42">XLOOKUP(C42,'Exported Data'!$A:$A,'Exported Data'!$B:$B)</f>
        <v>10</v>
      </c>
      <c r="E42" s="7"/>
      <c r="F42" s="7"/>
      <c r="G42" s="7"/>
      <c r="H42" s="7"/>
      <c r="I42" s="7"/>
      <c r="J42" s="9" t="s">
        <v>145</v>
      </c>
      <c r="K42" s="26" t="str">
        <f t="shared" si="6"/>
        <v>[Level 7] Calpheon Knights' Combat Manual</v>
      </c>
      <c r="L42" s="56">
        <f t="array" ref="L42">XLOOKUP(K42,'Exported Data'!$A:$A,'Exported Data'!$B:$B)</f>
        <v>0</v>
      </c>
      <c r="M42" s="7"/>
      <c r="N42" s="7"/>
    </row>
    <row r="43" ht="19.5" customHeight="1">
      <c r="A43" s="7"/>
      <c r="B43" s="17" t="s">
        <v>63</v>
      </c>
      <c r="C43" s="26" t="str">
        <f t="shared" si="7"/>
        <v>[Level 5] Luxury Patterned Fabric</v>
      </c>
      <c r="D43" s="56">
        <f t="array" ref="D43">XLOOKUP(C43,'Exported Data'!$A:$A,'Exported Data'!$B:$B)</f>
        <v>12</v>
      </c>
      <c r="E43" s="7"/>
      <c r="F43" s="7"/>
      <c r="G43" s="7"/>
      <c r="H43" s="7"/>
      <c r="I43" s="7"/>
      <c r="J43" s="9" t="s">
        <v>146</v>
      </c>
      <c r="K43" s="26" t="str">
        <f t="shared" si="6"/>
        <v>[Level 7] Calpheon Golden Candle Stand</v>
      </c>
      <c r="L43" s="56">
        <f t="array" ref="L43">XLOOKUP(K43,'Exported Data'!$A:$A,'Exported Data'!$B:$B)</f>
        <v>0</v>
      </c>
      <c r="M43" s="7"/>
      <c r="N43" s="7"/>
    </row>
    <row r="44" ht="19.5" customHeight="1">
      <c r="A44" s="7"/>
      <c r="B44" s="17" t="s">
        <v>59</v>
      </c>
      <c r="C44" s="26" t="str">
        <f t="shared" si="7"/>
        <v>[Level 5] Azure Quartz</v>
      </c>
      <c r="D44" s="56">
        <f t="array" ref="D44">XLOOKUP(C44,'Exported Data'!$A:$A,'Exported Data'!$B:$B)</f>
        <v>3</v>
      </c>
      <c r="E44" s="7"/>
      <c r="F44" s="7"/>
      <c r="G44" s="7"/>
      <c r="H44" s="7"/>
      <c r="I44" s="7"/>
      <c r="J44" s="9" t="s">
        <v>147</v>
      </c>
      <c r="K44" s="26" t="str">
        <f t="shared" si="6"/>
        <v>[Level 7] Calpheonian Artisan's Pearl Necklace</v>
      </c>
      <c r="L44" s="56">
        <f t="array" ref="L44">XLOOKUP(K44,'Exported Data'!$A:$A,'Exported Data'!$B:$B)</f>
        <v>0</v>
      </c>
      <c r="M44" s="7"/>
      <c r="N44" s="7"/>
    </row>
    <row r="45" ht="19.5" customHeight="1">
      <c r="A45" s="7"/>
      <c r="B45" s="17" t="s">
        <v>148</v>
      </c>
      <c r="C45" s="26" t="str">
        <f t="shared" si="7"/>
        <v>[Level 5] Elixir of Youth</v>
      </c>
      <c r="D45" s="56">
        <f t="array" ref="D45">XLOOKUP(C45,'Exported Data'!$A:$A,'Exported Data'!$B:$B)</f>
        <v>0</v>
      </c>
      <c r="E45" s="7"/>
      <c r="F45" s="7"/>
      <c r="G45" s="7"/>
      <c r="H45" s="7"/>
      <c r="I45" s="7"/>
      <c r="J45" s="9" t="s">
        <v>149</v>
      </c>
      <c r="K45" s="26" t="str">
        <f t="shared" si="6"/>
        <v>[Level 7] Sausan Military Supply</v>
      </c>
      <c r="L45" s="56">
        <f t="array" ref="L45">XLOOKUP(K45,'Exported Data'!$A:$A,'Exported Data'!$B:$B)</f>
        <v>0</v>
      </c>
      <c r="M45" s="7"/>
      <c r="N45" s="7"/>
    </row>
    <row r="46" ht="19.5" customHeight="1">
      <c r="A46" s="7"/>
      <c r="B46" s="17" t="s">
        <v>38</v>
      </c>
      <c r="C46" s="26" t="str">
        <f t="shared" si="7"/>
        <v>[Level 5] Faded Gold Dragon Figurine</v>
      </c>
      <c r="D46" s="56">
        <f t="array" ref="D46">XLOOKUP(C46,'Exported Data'!$A:$A,'Exported Data'!$B:$B)</f>
        <v>0</v>
      </c>
      <c r="E46" s="7"/>
      <c r="F46" s="7"/>
      <c r="G46" s="7"/>
      <c r="H46" s="7"/>
      <c r="I46" s="7"/>
      <c r="J46" s="9" t="s">
        <v>150</v>
      </c>
      <c r="K46" s="26" t="str">
        <f t="shared" si="6"/>
        <v>[Level 7] Stonetail Carrot Healthy Food Crate</v>
      </c>
      <c r="L46" s="56">
        <f t="array" ref="L46">XLOOKUP(K46,'Exported Data'!$A:$A,'Exported Data'!$B:$B)</f>
        <v>0</v>
      </c>
      <c r="M46" s="7"/>
      <c r="N46" s="7"/>
    </row>
    <row r="47" ht="19.5" customHeight="1">
      <c r="A47" s="7"/>
      <c r="B47" s="17" t="s">
        <v>32</v>
      </c>
      <c r="C47" s="26" t="str">
        <f t="shared" si="7"/>
        <v>[Level 5] Stuffed White Caterpillar</v>
      </c>
      <c r="D47" s="56">
        <f t="array" ref="D47">XLOOKUP(C47,'Exported Data'!$A:$A,'Exported Data'!$B:$B)</f>
        <v>0</v>
      </c>
      <c r="E47" s="7"/>
      <c r="F47" s="7"/>
      <c r="G47" s="7"/>
      <c r="H47" s="7"/>
      <c r="I47" s="7"/>
      <c r="J47" s="9" t="s">
        <v>151</v>
      </c>
      <c r="K47" s="26" t="str">
        <f t="shared" si="6"/>
        <v>[Level 7] Omar Lava Powder</v>
      </c>
      <c r="L47" s="56">
        <f t="array" ref="L47">XLOOKUP(K47,'Exported Data'!$A:$A,'Exported Data'!$B:$B)</f>
        <v>4</v>
      </c>
      <c r="M47" s="7"/>
      <c r="N47" s="7"/>
    </row>
    <row r="48" ht="19.5" customHeight="1">
      <c r="A48" s="7"/>
      <c r="B48" s="17" t="s">
        <v>152</v>
      </c>
      <c r="C48" s="26" t="str">
        <f t="shared" si="7"/>
        <v>[Level 5] 37 Year Old Herbal Wine</v>
      </c>
      <c r="D48" s="56">
        <f t="array" ref="D48">XLOOKUP(C48,'Exported Data'!$A:$A,'Exported Data'!$B:$B)</f>
        <v>0</v>
      </c>
      <c r="E48" s="7"/>
      <c r="F48" s="7"/>
      <c r="G48" s="7"/>
      <c r="H48" s="7"/>
      <c r="I48" s="7"/>
      <c r="J48" s="9" t="s">
        <v>153</v>
      </c>
      <c r="K48" s="26" t="str">
        <f t="shared" si="6"/>
        <v>[Level 7] Tarif Magic Pot</v>
      </c>
      <c r="L48" s="56">
        <f t="array" ref="L48">XLOOKUP(K48,'Exported Data'!$A:$A,'Exported Data'!$B:$B)</f>
        <v>5</v>
      </c>
      <c r="M48" s="7"/>
      <c r="N48" s="7"/>
    </row>
    <row r="49" ht="19.5" customHeight="1">
      <c r="A49" s="7"/>
      <c r="B49" s="7"/>
      <c r="C49" s="7"/>
      <c r="D49" s="7"/>
      <c r="E49" s="7"/>
      <c r="F49" s="7"/>
      <c r="G49" s="7"/>
      <c r="H49" s="7"/>
      <c r="I49" s="7"/>
      <c r="J49" s="9" t="s">
        <v>154</v>
      </c>
      <c r="K49" s="26" t="str">
        <f t="shared" si="6"/>
        <v>[Level 7] Rusalka's Thorny Bouquet</v>
      </c>
      <c r="L49" s="56">
        <f t="array" ref="L49">XLOOKUP(K49,'Exported Data'!$A:$A,'Exported Data'!$B:$B)</f>
        <v>0</v>
      </c>
      <c r="M49" s="7"/>
      <c r="N49" s="7"/>
    </row>
    <row r="50" ht="19.5" customHeight="1">
      <c r="A50" s="7"/>
      <c r="B50" s="7"/>
      <c r="C50" s="7"/>
      <c r="D50" s="7"/>
      <c r="E50" s="7"/>
      <c r="F50" s="7"/>
      <c r="G50" s="7"/>
      <c r="H50" s="7"/>
      <c r="I50" s="7"/>
      <c r="J50" s="9" t="s">
        <v>155</v>
      </c>
      <c r="K50" s="26" t="str">
        <f t="shared" si="6"/>
        <v>[Level 7] Sturdy Caphras Timber</v>
      </c>
      <c r="L50" s="56">
        <f t="array" ref="L50">XLOOKUP(K50,'Exported Data'!$A:$A,'Exported Data'!$B:$B)</f>
        <v>0</v>
      </c>
      <c r="M50" s="7"/>
      <c r="N50" s="7"/>
    </row>
    <row r="51" ht="19.5" customHeight="1">
      <c r="A51" s="7"/>
      <c r="B51" s="7"/>
      <c r="C51" s="7"/>
      <c r="D51" s="7"/>
      <c r="E51" s="7"/>
      <c r="F51" s="7"/>
      <c r="G51" s="7"/>
      <c r="H51" s="7"/>
      <c r="I51" s="7"/>
      <c r="J51" s="9" t="s">
        <v>156</v>
      </c>
      <c r="K51" s="26" t="str">
        <f t="shared" si="6"/>
        <v>[Level 7] Top-Quality Hakinza Perfume</v>
      </c>
      <c r="L51" s="56">
        <f t="array" ref="L51">XLOOKUP(K51,'Exported Data'!$A:$A,'Exported Data'!$B:$B)</f>
        <v>0</v>
      </c>
      <c r="M51" s="7"/>
      <c r="N51" s="7"/>
    </row>
    <row r="52" ht="19.5" customHeight="1">
      <c r="A52" s="7"/>
      <c r="B52" s="7"/>
      <c r="C52" s="7"/>
      <c r="D52" s="7"/>
      <c r="E52" s="7"/>
      <c r="F52" s="7"/>
      <c r="G52" s="7"/>
      <c r="H52" s="7"/>
      <c r="I52" s="7"/>
      <c r="J52" s="9" t="s">
        <v>157</v>
      </c>
      <c r="K52" s="26" t="str">
        <f t="shared" si="6"/>
        <v>[Level 7] Throne of Edana Records</v>
      </c>
      <c r="L52" s="56">
        <f t="array" ref="L52">XLOOKUP(K52,'Exported Data'!$A:$A,'Exported Data'!$B:$B)</f>
        <v>0</v>
      </c>
      <c r="M52" s="7"/>
      <c r="N52" s="7"/>
    </row>
    <row r="53" ht="19.5" customHeight="1">
      <c r="A53" s="7"/>
      <c r="B53" s="7"/>
      <c r="C53" s="7"/>
      <c r="D53" s="7"/>
      <c r="E53" s="7"/>
      <c r="F53" s="7"/>
      <c r="G53" s="7"/>
      <c r="H53" s="7"/>
      <c r="I53" s="7"/>
      <c r="J53" s="9"/>
      <c r="K53" s="9"/>
      <c r="L53" s="9"/>
      <c r="M53" s="9"/>
      <c r="N53" s="9"/>
    </row>
    <row r="54" ht="19.5" customHeight="1">
      <c r="A54" s="7"/>
      <c r="B54" s="7"/>
      <c r="C54" s="7"/>
      <c r="D54" s="7"/>
      <c r="E54" s="7"/>
      <c r="F54" s="7"/>
      <c r="G54" s="7"/>
      <c r="H54" s="7"/>
      <c r="I54" s="7"/>
      <c r="J54" s="9"/>
      <c r="K54" s="9"/>
      <c r="L54" s="9"/>
      <c r="M54" s="9"/>
      <c r="N54" s="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D3:D16 D19:D32 D35:D48 H3:H16 H19:H32 L3:L26 L29:L52">
    <cfRule type="cellIs" dxfId="0" priority="1" operator="lessThan">
      <formula>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57.5"/>
    <col customWidth="1" min="3" max="6" width="12.63"/>
  </cols>
  <sheetData>
    <row r="1" ht="18.0" customHeight="1">
      <c r="A1" s="59" t="s">
        <v>158</v>
      </c>
      <c r="B1" s="59" t="s">
        <v>159</v>
      </c>
    </row>
    <row r="2" ht="42.0" customHeight="1">
      <c r="A2" s="60" t="str">
        <f>IMAGE("https://bdocodex.com/items/new_icon/03_etc/10_free_tradeitem/00800008.webp")</f>
        <v>#REF!</v>
      </c>
      <c r="B2" s="61" t="s">
        <v>11</v>
      </c>
    </row>
    <row r="3" ht="42.0" customHeight="1">
      <c r="A3" s="60" t="str">
        <f>IMAGE("https://bdocodex.com/items/new_icon/03_etc/10_free_tradeitem/00800037.webp")</f>
        <v>#REF!</v>
      </c>
      <c r="B3" s="61" t="s">
        <v>15</v>
      </c>
    </row>
    <row r="4" ht="42.0" customHeight="1">
      <c r="A4" s="60" t="str">
        <f>IMAGE("https://bdocodex.com/items/new_icon/03_etc/10_free_tradeitem/00800036.webp")</f>
        <v>#REF!</v>
      </c>
      <c r="B4" s="61" t="s">
        <v>23</v>
      </c>
    </row>
    <row r="5" ht="42.0" customHeight="1">
      <c r="A5" s="60" t="str">
        <f>IMAGE("https://bdocodex.com/items/new_icon/03_etc/10_free_tradeitem/00800015.webp")</f>
        <v>#REF!</v>
      </c>
      <c r="B5" s="61" t="s">
        <v>29</v>
      </c>
    </row>
    <row r="6" ht="42.0" customHeight="1">
      <c r="A6" s="60" t="str">
        <f>IMAGE("https://bdocodex.com/items/new_icon/03_etc/10_free_tradeitem/00800010.webp")</f>
        <v>#REF!</v>
      </c>
      <c r="B6" s="61" t="s">
        <v>35</v>
      </c>
    </row>
    <row r="7" ht="42.0" customHeight="1">
      <c r="A7" s="60" t="str">
        <f>IMAGE("https://bdocodex.com/items/new_icon/03_etc/10_free_tradeitem/00800033.webp")</f>
        <v>#REF!</v>
      </c>
      <c r="B7" s="61" t="s">
        <v>40</v>
      </c>
    </row>
    <row r="8" ht="42.0" customHeight="1">
      <c r="A8" s="60" t="str">
        <f>IMAGE("https://bdocodex.com/items/new_icon/03_etc/10_free_tradeitem/00800007.webp")</f>
        <v>#REF!</v>
      </c>
      <c r="B8" s="61" t="s">
        <v>45</v>
      </c>
    </row>
    <row r="9" ht="42.0" customHeight="1">
      <c r="A9" s="60" t="str">
        <f>IMAGE("https://bdocodex.com/items/new_icon/03_etc/10_free_tradeitem/00800006.webp")</f>
        <v>#REF!</v>
      </c>
      <c r="B9" s="61" t="s">
        <v>51</v>
      </c>
    </row>
    <row r="10" ht="42.0" customHeight="1">
      <c r="A10" s="60" t="str">
        <f>IMAGE("https://bdocodex.com/items/new_icon/03_etc/10_free_tradeitem/00800051.webp")</f>
        <v>#REF!</v>
      </c>
      <c r="B10" s="61" t="s">
        <v>56</v>
      </c>
    </row>
    <row r="11" ht="42.0" customHeight="1">
      <c r="A11" s="60" t="str">
        <f>IMAGE("https://bdocodex.com/items/new_icon/03_etc/10_free_tradeitem/00800022.webp")</f>
        <v>#REF!</v>
      </c>
      <c r="B11" s="61" t="s">
        <v>60</v>
      </c>
    </row>
    <row r="12" ht="42.0" customHeight="1">
      <c r="A12" s="60" t="str">
        <f>IMAGE("https://bdocodex.com/items/new_icon/03_etc/10_free_tradeitem/00800003.webp")</f>
        <v>#REF!</v>
      </c>
      <c r="B12" s="61" t="s">
        <v>64</v>
      </c>
    </row>
    <row r="13" ht="42.0" customHeight="1">
      <c r="A13" s="60" t="str">
        <f>IMAGE("https://bdocodex.com/items/new_icon/03_etc/10_free_tradeitem/00800026.webp")</f>
        <v>#REF!</v>
      </c>
      <c r="B13" s="61" t="s">
        <v>68</v>
      </c>
    </row>
    <row r="14" ht="42.0" customHeight="1">
      <c r="A14" s="60" t="str">
        <f>IMAGE("https://bdocodex.com/items/new_icon/03_etc/10_free_tradeitem/00800001.webp")</f>
        <v>#REF!</v>
      </c>
      <c r="B14" s="61" t="s">
        <v>72</v>
      </c>
    </row>
    <row r="15" ht="42.0" customHeight="1">
      <c r="A15" s="60" t="str">
        <f>IMAGE("https://bdocodex.com/items/new_icon/03_etc/10_free_tradeitem/00800060.webp")</f>
        <v>#REF!</v>
      </c>
      <c r="B15" s="61" t="s">
        <v>94</v>
      </c>
    </row>
    <row r="16" ht="42.0" customHeight="1">
      <c r="A16" s="60" t="str">
        <f>IMAGE("https://bdocodex.com/items/new_icon/03_etc/10_free_tradeitem/00800035.webp")</f>
        <v>#REF!</v>
      </c>
      <c r="B16" s="61" t="s">
        <v>96</v>
      </c>
    </row>
    <row r="17" ht="42.0" customHeight="1">
      <c r="A17" s="60" t="str">
        <f>IMAGE("https://bdocodex.com/items/new_icon/03_etc/10_free_tradeitem/00800031.webp")</f>
        <v>#REF!</v>
      </c>
      <c r="B17" s="61" t="s">
        <v>98</v>
      </c>
    </row>
    <row r="18" ht="42.0" customHeight="1">
      <c r="A18" s="60" t="str">
        <f>IMAGE("https://bdocodex.com/items/new_icon/03_etc/10_free_tradeitem/00800021.webp")</f>
        <v>#REF!</v>
      </c>
      <c r="B18" s="61" t="s">
        <v>100</v>
      </c>
    </row>
    <row r="19" ht="42.0" customHeight="1">
      <c r="A19" s="60" t="str">
        <f>IMAGE("https://bdocodex.com/items/new_icon/03_etc/10_free_tradeitem/00800059.webp")</f>
        <v>#REF!</v>
      </c>
      <c r="B19" s="61" t="s">
        <v>102</v>
      </c>
    </row>
    <row r="20" ht="42.0" customHeight="1">
      <c r="A20" s="60" t="str">
        <f>IMAGE("https://bdocodex.com/items/new_icon/03_etc/10_free_tradeitem/00800049.webp")</f>
        <v>#REF!</v>
      </c>
      <c r="B20" s="61" t="s">
        <v>104</v>
      </c>
    </row>
    <row r="21" ht="42.0" customHeight="1">
      <c r="A21" s="60" t="str">
        <f>IMAGE("https://bdocodex.com/items/new_icon/03_etc/10_free_tradeitem/00800017.webp")</f>
        <v>#REF!</v>
      </c>
      <c r="B21" s="61" t="s">
        <v>106</v>
      </c>
    </row>
    <row r="22" ht="42.0" customHeight="1">
      <c r="A22" s="60" t="str">
        <f>IMAGE("https://bdocodex.com/items/new_icon/03_etc/07_productmaterial/00005806.webp")</f>
        <v>#REF!</v>
      </c>
      <c r="B22" s="61" t="s">
        <v>160</v>
      </c>
    </row>
    <row r="23" ht="42.0" customHeight="1">
      <c r="A23" s="60" t="str">
        <f>IMAGE("https://bdocodex.com/items/new_icon/03_etc/10_free_tradeitem/00800024.webp")</f>
        <v>#REF!</v>
      </c>
      <c r="B23" s="61" t="s">
        <v>4</v>
      </c>
    </row>
    <row r="24" ht="42.0" customHeight="1">
      <c r="A24" s="60" t="str">
        <f>IMAGE("https://bdocodex.com/items/new_icon/03_etc/10_free_tradeitem/00800029.webp")</f>
        <v>#REF!</v>
      </c>
      <c r="B24" s="61" t="s">
        <v>109</v>
      </c>
    </row>
    <row r="25" ht="42.0" customHeight="1">
      <c r="A25" s="60" t="str">
        <f>IMAGE("https://bdocodex.com/items/new_icon/03_etc/10_free_tradeitem/00800040.webp")</f>
        <v>#REF!</v>
      </c>
      <c r="B25" s="61" t="s">
        <v>111</v>
      </c>
    </row>
    <row r="26" ht="42.0" customHeight="1">
      <c r="A26" s="60" t="str">
        <f>IMAGE("https://bdocodex.com/items/new_icon/03_etc/10_free_tradeitem/00800023.webp")</f>
        <v>#REF!</v>
      </c>
      <c r="B26" s="61" t="s">
        <v>113</v>
      </c>
    </row>
    <row r="27" ht="42.0" customHeight="1">
      <c r="A27" s="60" t="str">
        <f>IMAGE("https://bdocodex.com/items/new_icon/03_etc/07_productmaterial/00005805.webp")</f>
        <v>#REF!</v>
      </c>
      <c r="B27" s="61" t="s">
        <v>161</v>
      </c>
    </row>
    <row r="28" ht="42.0" customHeight="1">
      <c r="A28" s="60" t="str">
        <f>IMAGE("https://bdocodex.com/items/new_icon/03_etc/10_free_tradeitem/00800020.webp")</f>
        <v>#REF!</v>
      </c>
      <c r="B28" s="61" t="s">
        <v>117</v>
      </c>
    </row>
    <row r="29" ht="42.0" customHeight="1">
      <c r="A29" s="60" t="str">
        <f>IMAGE("https://bdocodex.com/items/new_icon/03_etc/10_free_tradeitem/00800027.webp")</f>
        <v>#REF!</v>
      </c>
      <c r="B29" s="61" t="s">
        <v>162</v>
      </c>
    </row>
    <row r="30" ht="42.0" customHeight="1">
      <c r="A30" s="60" t="str">
        <f>IMAGE("https://bdocodex.com/items/new_icon/03_etc/10_free_tradeitem/00800042.webp")</f>
        <v>#REF!</v>
      </c>
      <c r="B30" s="61" t="s">
        <v>163</v>
      </c>
    </row>
    <row r="31" ht="42.0" customHeight="1">
      <c r="A31" s="60" t="str">
        <f>IMAGE("https://bdocodex.com/items/new_icon/03_etc/10_free_tradeitem/00800054.webp")</f>
        <v>#REF!</v>
      </c>
      <c r="B31" s="61" t="s">
        <v>16</v>
      </c>
    </row>
    <row r="32" ht="42.0" customHeight="1">
      <c r="A32" s="60" t="str">
        <f>IMAGE("https://bdocodex.com/items/new_icon/03_etc/10_free_tradeitem/00800045.webp")</f>
        <v>#REF!</v>
      </c>
      <c r="B32" s="61" t="s">
        <v>24</v>
      </c>
    </row>
    <row r="33" ht="42.0" customHeight="1">
      <c r="A33" s="60" t="str">
        <f>IMAGE("https://bdocodex.com/items/new_icon/03_etc/10_free_tradeitem/00800032.webp")</f>
        <v>#REF!</v>
      </c>
      <c r="B33" s="61" t="s">
        <v>65</v>
      </c>
    </row>
    <row r="34" ht="42.0" customHeight="1">
      <c r="A34" s="60" t="str">
        <f>IMAGE("https://bdocodex.com/items/new_icon/03_etc/10_free_tradeitem/00800052.webp")</f>
        <v>#REF!</v>
      </c>
      <c r="B34" s="61" t="s">
        <v>73</v>
      </c>
    </row>
    <row r="35" ht="42.0" customHeight="1">
      <c r="A35" s="60" t="str">
        <f>IMAGE("https://bdocodex.com/items/new_icon/03_etc/10_free_tradeitem/00800034.webp")</f>
        <v>#REF!</v>
      </c>
      <c r="B35" s="61" t="s">
        <v>57</v>
      </c>
    </row>
    <row r="36" ht="42.0" customHeight="1">
      <c r="A36" s="60" t="str">
        <f>IMAGE("https://bdocodex.com/items/new_icon/03_etc/10_free_tradeitem/00800053.webp")</f>
        <v>#REF!</v>
      </c>
      <c r="B36" s="61" t="s">
        <v>69</v>
      </c>
    </row>
    <row r="37" ht="42.0" customHeight="1">
      <c r="A37" s="60" t="str">
        <f>IMAGE("https://bdocodex.com/items/new_icon/03_etc/10_free_tradeitem/00800002.webp")</f>
        <v>#REF!</v>
      </c>
      <c r="B37" s="61" t="s">
        <v>30</v>
      </c>
    </row>
    <row r="38" ht="42.0" customHeight="1">
      <c r="A38" s="60" t="str">
        <f>IMAGE("https://bdocodex.com/items/new_icon/03_etc/10_free_tradeitem/00800050.webp")</f>
        <v>#REF!</v>
      </c>
      <c r="B38" s="61" t="s">
        <v>52</v>
      </c>
    </row>
    <row r="39" ht="42.0" customHeight="1">
      <c r="A39" s="60" t="str">
        <f>IMAGE("https://bdocodex.com/items/new_icon/03_etc/10_free_tradeitem/00800070.webp")</f>
        <v>#REF!</v>
      </c>
      <c r="B39" s="61" t="s">
        <v>41</v>
      </c>
    </row>
    <row r="40" ht="42.0" customHeight="1">
      <c r="A40" s="60" t="str">
        <f>IMAGE("https://bdocodex.com/items/new_icon/03_etc/10_free_tradeitem/00800048.webp")</f>
        <v>#REF!</v>
      </c>
      <c r="B40" s="61" t="s">
        <v>46</v>
      </c>
    </row>
    <row r="41" ht="42.0" customHeight="1">
      <c r="A41" s="60" t="str">
        <f>IMAGE("https://bdocodex.com/items/new_icon/03_etc/10_free_tradeitem/00800047.webp")</f>
        <v>#REF!</v>
      </c>
      <c r="B41" s="61" t="s">
        <v>61</v>
      </c>
    </row>
    <row r="42" ht="42.0" customHeight="1">
      <c r="A42" s="60" t="str">
        <f>IMAGE("https://bdocodex.com/items/new_icon/03_etc/10_free_tradeitem/00800004.webp")</f>
        <v>#REF!</v>
      </c>
      <c r="B42" s="61" t="s">
        <v>79</v>
      </c>
    </row>
    <row r="43" ht="42.0" customHeight="1">
      <c r="A43" s="60" t="str">
        <f>IMAGE("https://bdocodex.com/items/new_icon/03_etc/10_free_tradeitem/00800056.webp")</f>
        <v>#REF!</v>
      </c>
      <c r="B43" s="61" t="s">
        <v>12</v>
      </c>
    </row>
    <row r="44" ht="42.0" customHeight="1">
      <c r="A44" s="60" t="str">
        <f>IMAGE("https://bdocodex.com/items/new_icon/03_etc/10_free_tradeitem/00800070.webp")</f>
        <v>#REF!</v>
      </c>
      <c r="B44" s="61" t="s">
        <v>41</v>
      </c>
    </row>
    <row r="45" ht="42.0" customHeight="1">
      <c r="A45" s="60" t="str">
        <f>IMAGE("https://bdocodex.com/items/new_icon/03_etc/10_free_tradeitem/00800002.webp")</f>
        <v>#REF!</v>
      </c>
      <c r="B45" s="61" t="s">
        <v>30</v>
      </c>
    </row>
    <row r="46" ht="42.0" customHeight="1">
      <c r="A46" s="60" t="str">
        <f>IMAGE("https://bdocodex.com/items/new_icon/03_etc/10_free_tradeitem/00800054.webp")</f>
        <v>#REF!</v>
      </c>
      <c r="B46" s="61" t="s">
        <v>16</v>
      </c>
    </row>
    <row r="47" ht="42.0" customHeight="1">
      <c r="A47" s="60" t="str">
        <f>IMAGE("https://bdocodex.com/items/new_icon/03_etc/10_free_tradeitem/00800056.webp")</f>
        <v>#REF!</v>
      </c>
      <c r="B47" s="61" t="s">
        <v>12</v>
      </c>
    </row>
    <row r="48" ht="42.0" customHeight="1">
      <c r="A48" s="60" t="str">
        <f>IMAGE("https://bdocodex.com/items/new_icon/03_etc/10_free_tradeitem/00800032.webp")</f>
        <v>#REF!</v>
      </c>
      <c r="B48" s="61" t="s">
        <v>65</v>
      </c>
    </row>
    <row r="49" ht="42.0" customHeight="1">
      <c r="A49" s="60" t="str">
        <f>IMAGE("https://bdocodex.com/items/new_icon/03_etc/10_free_tradeitem/00800052.webp")</f>
        <v>#REF!</v>
      </c>
      <c r="B49" s="61" t="s">
        <v>73</v>
      </c>
    </row>
    <row r="50" ht="42.0" customHeight="1">
      <c r="A50" s="60" t="str">
        <f>IMAGE("https://bdocodex.com/items/new_icon/03_etc/10_free_tradeitem/00800004.webp")</f>
        <v>#REF!</v>
      </c>
      <c r="B50" s="61" t="s">
        <v>79</v>
      </c>
    </row>
    <row r="51" ht="42.0" customHeight="1">
      <c r="A51" s="60" t="str">
        <f>IMAGE("https://bdocodex.com/items/new_icon/03_etc/10_free_tradeitem/00800012.webp")</f>
        <v>#REF!</v>
      </c>
      <c r="B51" s="61" t="s">
        <v>62</v>
      </c>
    </row>
    <row r="52" ht="42.0" customHeight="1">
      <c r="A52" s="60" t="str">
        <f>IMAGE("https://bdocodex.com/items/new_icon/03_etc/10_free_tradeitem/00800043.webp")</f>
        <v>#REF!</v>
      </c>
      <c r="B52" s="61" t="s">
        <v>74</v>
      </c>
    </row>
    <row r="53" ht="42.0" customHeight="1">
      <c r="A53" s="60" t="str">
        <f>IMAGE("https://bdocodex.com/items/new_icon/03_etc/10_free_tradeitem/00800025.webp")</f>
        <v>#REF!</v>
      </c>
      <c r="B53" s="61" t="s">
        <v>123</v>
      </c>
    </row>
    <row r="54" ht="42.0" customHeight="1">
      <c r="A54" s="60" t="str">
        <f>IMAGE("https://bdocodex.com/items/new_icon/03_etc/10_free_tradeitem/00800066.webp")</f>
        <v>#REF!</v>
      </c>
      <c r="B54" s="61" t="s">
        <v>53</v>
      </c>
    </row>
    <row r="55" ht="42.0" customHeight="1">
      <c r="A55" s="60" t="str">
        <f>IMAGE("https://bdocodex.com/items/new_icon/03_etc/10_free_tradeitem/00800018.webp")</f>
        <v>#REF!</v>
      </c>
      <c r="B55" s="61" t="s">
        <v>31</v>
      </c>
    </row>
    <row r="56" ht="42.0" customHeight="1">
      <c r="A56" s="60" t="str">
        <f>IMAGE("https://bdocodex.com/items/new_icon/03_etc/10_free_tradeitem/00800062.webp")</f>
        <v>#REF!</v>
      </c>
      <c r="B56" s="61" t="s">
        <v>70</v>
      </c>
    </row>
    <row r="57" ht="42.0" customHeight="1">
      <c r="A57" s="60" t="str">
        <f>IMAGE("https://bdocodex.com/items/new_icon/03_etc/10_free_tradeitem/00800025.webp")</f>
        <v>#REF!</v>
      </c>
      <c r="B57" s="61" t="s">
        <v>123</v>
      </c>
    </row>
    <row r="58" ht="42.0" customHeight="1">
      <c r="A58" s="60" t="str">
        <f>IMAGE("https://bdocodex.com/items/new_icon/03_etc/10_free_tradeitem/00800030.webp")</f>
        <v>#REF!</v>
      </c>
      <c r="B58" s="61" t="s">
        <v>17</v>
      </c>
    </row>
    <row r="59" ht="42.0" customHeight="1">
      <c r="A59" s="60" t="str">
        <f>IMAGE("https://bdocodex.com/items/new_icon/03_etc/10_free_tradeitem/00800038.webp")</f>
        <v>#REF!</v>
      </c>
      <c r="B59" s="61" t="s">
        <v>13</v>
      </c>
    </row>
    <row r="60" ht="42.0" customHeight="1">
      <c r="A60" s="60" t="str">
        <f>IMAGE("https://bdocodex.com/items/new_icon/03_etc/10_free_tradeitem/00800063.webp")</f>
        <v>#REF!</v>
      </c>
      <c r="B60" s="61" t="s">
        <v>66</v>
      </c>
    </row>
    <row r="61" ht="42.0" customHeight="1">
      <c r="A61" s="60" t="str">
        <f>IMAGE("https://bdocodex.com/items/new_icon/03_etc/10_free_tradeitem/00800012.webp")</f>
        <v>#REF!</v>
      </c>
      <c r="B61" s="61" t="s">
        <v>62</v>
      </c>
    </row>
    <row r="62" ht="42.0" customHeight="1">
      <c r="A62" s="60" t="str">
        <f>IMAGE("https://bdocodex.com/items/new_icon/03_etc/10_free_tradeitem/00800061.webp")</f>
        <v>#REF!</v>
      </c>
      <c r="B62" s="61" t="s">
        <v>47</v>
      </c>
    </row>
    <row r="63" ht="42.0" customHeight="1">
      <c r="A63" s="60" t="str">
        <f>IMAGE("https://bdocodex.com/items/new_icon/03_etc/10_free_tradeitem/00800025.webp")</f>
        <v>#REF!</v>
      </c>
      <c r="B63" s="61" t="s">
        <v>123</v>
      </c>
    </row>
    <row r="64" ht="42.0" customHeight="1">
      <c r="A64" s="60" t="str">
        <f>IMAGE("https://bdocodex.com/items/new_icon/03_etc/10_free_tradeitem/00800065.webp")</f>
        <v>#REF!</v>
      </c>
      <c r="B64" s="61" t="s">
        <v>58</v>
      </c>
    </row>
    <row r="65" ht="42.0" customHeight="1">
      <c r="A65" s="60" t="str">
        <f>IMAGE("https://bdocodex.com/items/new_icon/03_etc/10_free_tradeitem/00800043.webp")</f>
        <v>#REF!</v>
      </c>
      <c r="B65" s="61" t="s">
        <v>74</v>
      </c>
    </row>
    <row r="66" ht="42.0" customHeight="1">
      <c r="A66" s="60" t="str">
        <f>IMAGE("https://bdocodex.com/items/new_icon/03_etc/10_free_tradeitem/00800069.webp")</f>
        <v>#REF!</v>
      </c>
      <c r="B66" s="61" t="s">
        <v>42</v>
      </c>
    </row>
    <row r="67" ht="42.0" customHeight="1">
      <c r="A67" s="60" t="str">
        <f>IMAGE("https://bdocodex.com/items/new_icon/03_etc/10_free_tradeitem/00800018.webp")</f>
        <v>#REF!</v>
      </c>
      <c r="B67" s="61" t="s">
        <v>31</v>
      </c>
    </row>
    <row r="68" ht="42.0" customHeight="1">
      <c r="A68" s="60" t="str">
        <f>IMAGE("https://bdocodex.com/items/new_icon/03_etc/10_free_tradeitem/00800041.webp")</f>
        <v>#REF!</v>
      </c>
      <c r="B68" s="61" t="s">
        <v>25</v>
      </c>
    </row>
    <row r="69" ht="42.0" customHeight="1">
      <c r="A69" s="60" t="str">
        <f>IMAGE("https://bdocodex.com/items/new_icon/03_etc/10_free_tradeitem/00800066.webp")</f>
        <v>#REF!</v>
      </c>
      <c r="B69" s="61" t="s">
        <v>53</v>
      </c>
    </row>
    <row r="70" ht="42.0" customHeight="1">
      <c r="A70" s="60" t="str">
        <f>IMAGE("https://bdocodex.com/items/new_icon/03_etc/10_free_tradeitem/00800030.webp")</f>
        <v>#REF!</v>
      </c>
      <c r="B70" s="61" t="s">
        <v>17</v>
      </c>
    </row>
    <row r="71" ht="42.0" customHeight="1">
      <c r="A71" s="60" t="str">
        <f>IMAGE("https://bdocodex.com/items/new_icon/03_etc/10_free_tradeitem/00800062.webp")</f>
        <v>#REF!</v>
      </c>
      <c r="B71" s="61" t="s">
        <v>70</v>
      </c>
    </row>
    <row r="72" ht="42.0" customHeight="1">
      <c r="A72" s="60" t="str">
        <f>IMAGE("https://bdocodex.com/items/new_icon/03_etc/10_free_tradeitem/00800013.webp")</f>
        <v>#REF!</v>
      </c>
      <c r="B72" s="61" t="s">
        <v>37</v>
      </c>
    </row>
    <row r="73" ht="42.0" customHeight="1">
      <c r="A73" s="60" t="str">
        <f>IMAGE("https://bdocodex.com/items/new_icon/03_etc/10_free_tradeitem/00800019.webp")</f>
        <v>#REF!</v>
      </c>
      <c r="B73" s="61" t="s">
        <v>59</v>
      </c>
    </row>
    <row r="74" ht="42.0" customHeight="1">
      <c r="A74" s="60" t="str">
        <f>IMAGE("https://bdocodex.com/items/new_icon/03_etc/10_free_tradeitem/00800068.webp")</f>
        <v>#REF!</v>
      </c>
      <c r="B74" s="61" t="s">
        <v>148</v>
      </c>
    </row>
    <row r="75" ht="42.0" customHeight="1">
      <c r="A75" s="60" t="str">
        <f>IMAGE("https://bdocodex.com/items/new_icon/03_etc/10_free_tradeitem/00800014.webp")</f>
        <v>#REF!</v>
      </c>
      <c r="B75" s="61" t="s">
        <v>38</v>
      </c>
    </row>
    <row r="76" ht="42.0" customHeight="1">
      <c r="A76" s="60" t="str">
        <f>IMAGE("https://bdocodex.com/items/new_icon/03_etc/10_free_tradeitem/00800064.webp")</f>
        <v>#REF!</v>
      </c>
      <c r="B76" s="61" t="s">
        <v>32</v>
      </c>
    </row>
    <row r="77" ht="42.0" customHeight="1">
      <c r="A77" s="60" t="str">
        <f>IMAGE("https://bdocodex.com/items/new_icon/03_etc/10_free_tradeitem/00800058.webp")</f>
        <v>#REF!</v>
      </c>
      <c r="B77" s="61" t="s">
        <v>152</v>
      </c>
    </row>
    <row r="78" ht="42.0" customHeight="1">
      <c r="A78" s="60" t="str">
        <f>IMAGE("https://bdocodex.com/items/new_icon/03_etc/10_free_tradeitem/00800046.webp")</f>
        <v>#REF!</v>
      </c>
      <c r="B78" s="61" t="s">
        <v>48</v>
      </c>
    </row>
    <row r="79" ht="42.0" customHeight="1">
      <c r="A79" s="60" t="str">
        <f>IMAGE("https://bdocodex.com/items/new_icon/03_etc/10_free_tradeitem/00800009.webp")</f>
        <v>#REF!</v>
      </c>
      <c r="B79" s="61" t="s">
        <v>71</v>
      </c>
    </row>
    <row r="80" ht="42.0" customHeight="1">
      <c r="A80" s="60" t="str">
        <f>IMAGE("https://bdocodex.com/items/new_icon/03_etc/10_free_tradeitem/00800067.webp")</f>
        <v>#REF!</v>
      </c>
      <c r="B80" s="61" t="s">
        <v>14</v>
      </c>
    </row>
    <row r="81" ht="42.0" customHeight="1">
      <c r="A81" s="60" t="str">
        <f>IMAGE("https://bdocodex.com/items/new_icon/03_etc/10_free_tradeitem/00800011.webp")</f>
        <v>#REF!</v>
      </c>
      <c r="B81" s="61" t="s">
        <v>18</v>
      </c>
    </row>
    <row r="82" ht="42.0" customHeight="1">
      <c r="A82" s="60" t="str">
        <f>IMAGE("https://bdocodex.com/items/new_icon/03_etc/10_free_tradeitem/00800005.webp")</f>
        <v>#REF!</v>
      </c>
      <c r="B82" s="61" t="s">
        <v>54</v>
      </c>
    </row>
    <row r="83" ht="42.0" customHeight="1">
      <c r="A83" s="60" t="str">
        <f>IMAGE("https://bdocodex.com/items/new_icon/03_etc/10_free_tradeitem/00800028.webp")</f>
        <v>#REF!</v>
      </c>
      <c r="B83" s="61" t="s">
        <v>43</v>
      </c>
    </row>
    <row r="84" ht="42.0" customHeight="1">
      <c r="A84" s="60" t="str">
        <f>IMAGE("https://bdocodex.com/items/new_icon/03_etc/10_free_tradeitem/00800057.webp")</f>
        <v>#REF!</v>
      </c>
      <c r="B84" s="61" t="s">
        <v>67</v>
      </c>
    </row>
    <row r="85" ht="42.0" customHeight="1">
      <c r="A85" s="60" t="str">
        <f>IMAGE("https://bdocodex.com/items/new_icon/03_etc/10_free_tradeitem/00800039.webp")</f>
        <v>#REF!</v>
      </c>
      <c r="B85" s="61" t="s">
        <v>26</v>
      </c>
    </row>
    <row r="86" ht="42.0" customHeight="1">
      <c r="A86" s="60" t="str">
        <f>IMAGE("https://bdocodex.com/items/new_icon/03_etc/10_free_tradeitem/00800044.webp")</f>
        <v>#REF!</v>
      </c>
      <c r="B86" s="61" t="s">
        <v>36</v>
      </c>
    </row>
    <row r="87" ht="42.0" customHeight="1">
      <c r="A87" s="60" t="str">
        <f>IMAGE("https://bdocodex.com/items/new_icon/03_etc/10_free_tradeitem/00800055.webp")</f>
        <v>#REF!</v>
      </c>
      <c r="B87" s="61" t="s">
        <v>63</v>
      </c>
    </row>
    <row r="88" ht="42.0" customHeight="1">
      <c r="A88" s="62" t="str">
        <f>IMAGE("https://bdocodex.com/items/new_icon/03_etc/10_free_tradeitem/00800213.webp")</f>
        <v>#REF!</v>
      </c>
      <c r="B88" s="61" t="s">
        <v>125</v>
      </c>
    </row>
    <row r="89" ht="42.0" customHeight="1">
      <c r="A89" s="62" t="str">
        <f>IMAGE("https://bdocodex.com/items/new_icon/03_etc/10_free_tradeitem/00800214.webp")</f>
        <v>#REF!</v>
      </c>
      <c r="B89" s="61" t="s">
        <v>126</v>
      </c>
    </row>
    <row r="90" ht="42.0" customHeight="1">
      <c r="A90" s="62" t="str">
        <f>IMAGE("https://bdocodex.com/items/new_icon/03_etc/10_free_tradeitem/00800215.webp")</f>
        <v>#REF!</v>
      </c>
      <c r="B90" s="61" t="s">
        <v>127</v>
      </c>
    </row>
    <row r="91" ht="42.0" customHeight="1">
      <c r="A91" s="62" t="str">
        <f>IMAGE("https://bdocodex.com/items/new_icon/03_etc/10_free_tradeitem/00800216.webp")</f>
        <v>#REF!</v>
      </c>
      <c r="B91" s="61" t="s">
        <v>128</v>
      </c>
    </row>
    <row r="92" ht="42.0" customHeight="1">
      <c r="A92" s="62" t="str">
        <f>IMAGE("https://bdocodex.com/items/new_icon/03_etc/10_free_tradeitem/00800245.webp")</f>
        <v>#REF!</v>
      </c>
      <c r="B92" s="61" t="s">
        <v>129</v>
      </c>
    </row>
    <row r="93" ht="42.0" customHeight="1">
      <c r="A93" s="62" t="str">
        <f>IMAGE("https://bdocodex.com/items/new_icon/03_etc/10_free_tradeitem/00800246.webp")</f>
        <v>#REF!</v>
      </c>
      <c r="B93" s="61" t="s">
        <v>130</v>
      </c>
    </row>
    <row r="94" ht="42.0" customHeight="1">
      <c r="A94" s="62" t="str">
        <f>IMAGE("https://bdocodex.com/items/new_icon/03_etc/10_free_tradeitem/00800247.webp")</f>
        <v>#REF!</v>
      </c>
      <c r="B94" s="61" t="s">
        <v>95</v>
      </c>
    </row>
    <row r="95" ht="42.0" customHeight="1">
      <c r="A95" s="62" t="str">
        <f>IMAGE("https://bdocodex.com/items/new_icon/03_etc/10_free_tradeitem/00800248.webp")</f>
        <v>#REF!</v>
      </c>
      <c r="B95" s="61" t="s">
        <v>97</v>
      </c>
    </row>
    <row r="96" ht="42.0" customHeight="1">
      <c r="A96" s="62" t="str">
        <f>IMAGE("https://bdocodex.com/items/new_icon/03_etc/10_free_tradeitem/00800217.webp")</f>
        <v>#REF!</v>
      </c>
      <c r="B96" s="61" t="s">
        <v>99</v>
      </c>
    </row>
    <row r="97" ht="42.0" customHeight="1">
      <c r="A97" s="62" t="str">
        <f>IMAGE("https://bdocodex.com/items/new_icon/03_etc/10_free_tradeitem/00800218.webp")</f>
        <v>#REF!</v>
      </c>
      <c r="B97" s="61" t="s">
        <v>101</v>
      </c>
    </row>
    <row r="98" ht="42.0" customHeight="1">
      <c r="A98" s="62" t="str">
        <f>IMAGE("https://bdocodex.com/items/new_icon/03_etc/10_free_tradeitem/00800219.webp")</f>
        <v>#REF!</v>
      </c>
      <c r="B98" s="61" t="s">
        <v>103</v>
      </c>
    </row>
    <row r="99" ht="42.0" customHeight="1">
      <c r="A99" s="62" t="str">
        <f>IMAGE("https://bdocodex.com/items/new_icon/03_etc/10_free_tradeitem/00800220.webp")</f>
        <v>#REF!</v>
      </c>
      <c r="B99" s="61" t="s">
        <v>105</v>
      </c>
    </row>
    <row r="100" ht="42.0" customHeight="1">
      <c r="A100" s="62" t="str">
        <f>IMAGE("https://bdocodex.com/items/new_icon/03_etc/10_free_tradeitem/00800221.webp")</f>
        <v>#REF!</v>
      </c>
      <c r="B100" s="61" t="s">
        <v>107</v>
      </c>
    </row>
    <row r="101" ht="42.0" customHeight="1">
      <c r="A101" s="62" t="str">
        <f>IMAGE("https://bdocodex.com/items/new_icon/03_etc/10_free_tradeitem/00800222.webp")</f>
        <v>#REF!</v>
      </c>
      <c r="B101" s="61" t="s">
        <v>108</v>
      </c>
    </row>
    <row r="102" ht="42.0" customHeight="1">
      <c r="A102" s="62" t="str">
        <f>IMAGE("https://bdocodex.com/items/new_icon/03_etc/10_free_tradeitem/00800223.webp")</f>
        <v>#REF!</v>
      </c>
      <c r="B102" s="61" t="s">
        <v>112</v>
      </c>
    </row>
    <row r="103" ht="42.0" customHeight="1">
      <c r="A103" s="62" t="str">
        <f>IMAGE("https://bdocodex.com/items/new_icon/03_etc/10_free_tradeitem/00800224.webp")</f>
        <v>#REF!</v>
      </c>
      <c r="B103" s="61" t="s">
        <v>114</v>
      </c>
    </row>
    <row r="104" ht="42.0" customHeight="1">
      <c r="A104" s="62" t="str">
        <f>IMAGE("https://bdocodex.com/items/new_icon/03_etc/10_free_tradeitem/00800225.webp")</f>
        <v>#REF!</v>
      </c>
      <c r="B104" s="61" t="s">
        <v>116</v>
      </c>
    </row>
    <row r="105" ht="42.0" customHeight="1">
      <c r="A105" s="62" t="str">
        <f>IMAGE("https://bdocodex.com/items/new_icon/03_etc/10_free_tradeitem/00800226.webp")</f>
        <v>#REF!</v>
      </c>
      <c r="B105" s="61" t="s">
        <v>118</v>
      </c>
    </row>
    <row r="106" ht="42.0" customHeight="1">
      <c r="A106" s="62" t="str">
        <f>IMAGE("https://bdocodex.com/items/new_icon/03_etc/10_free_tradeitem/00800227.webp")</f>
        <v>#REF!</v>
      </c>
      <c r="B106" s="61" t="s">
        <v>119</v>
      </c>
    </row>
    <row r="107" ht="42.0" customHeight="1">
      <c r="A107" s="62" t="str">
        <f>IMAGE("https://bdocodex.com/items/new_icon/03_etc/10_free_tradeitem/00800228.webp")</f>
        <v>#REF!</v>
      </c>
      <c r="B107" s="61" t="s">
        <v>120</v>
      </c>
    </row>
    <row r="108" ht="42.0" customHeight="1">
      <c r="A108" s="62" t="str">
        <f>IMAGE("https://bdocodex.com/items/new_icon/03_etc/10_free_tradeitem/00800229.webp")</f>
        <v>#REF!</v>
      </c>
      <c r="B108" s="61" t="s">
        <v>164</v>
      </c>
    </row>
    <row r="109" ht="42.0" customHeight="1">
      <c r="A109" s="62" t="str">
        <f>IMAGE("https://bdocodex.com/items/new_icon/03_etc/10_free_tradeitem/00800230.webp")</f>
        <v>#REF!</v>
      </c>
      <c r="B109" s="61" t="s">
        <v>122</v>
      </c>
    </row>
    <row r="110" ht="42.0" customHeight="1">
      <c r="A110" s="62" t="str">
        <f>IMAGE("https://bdocodex.com/items/new_icon/03_etc/10_free_tradeitem/00800231.webp")</f>
        <v>#REF!</v>
      </c>
      <c r="B110" s="61" t="s">
        <v>124</v>
      </c>
    </row>
    <row r="111" ht="42.0" customHeight="1">
      <c r="A111" s="62" t="str">
        <f>IMAGE("https://bdocodex.com/items/new_icon/03_etc/10_free_tradeitem/00800232.webp")</f>
        <v>#REF!</v>
      </c>
      <c r="B111" s="61" t="s">
        <v>110</v>
      </c>
    </row>
    <row r="112" ht="42.0" customHeight="1">
      <c r="A112" s="62" t="str">
        <f>IMAGE("https://bdocodex.com/items/new_icon/03_etc/10_free_tradeitem/00800201.webp")</f>
        <v>#REF!</v>
      </c>
      <c r="B112" s="61" t="s">
        <v>140</v>
      </c>
    </row>
    <row r="113" ht="42.0" customHeight="1">
      <c r="A113" s="62" t="str">
        <f>IMAGE("https://bdocodex.com/items/new_icon/03_etc/10_free_tradeitem/00800202.webp")</f>
        <v>#REF!</v>
      </c>
      <c r="B113" s="61" t="s">
        <v>141</v>
      </c>
    </row>
    <row r="114" ht="42.0" customHeight="1">
      <c r="A114" s="62" t="str">
        <f>IMAGE("https://bdocodex.com/items/new_icon/03_etc/10_free_tradeitem/00800203.webp")</f>
        <v>#REF!</v>
      </c>
      <c r="B114" s="61" t="s">
        <v>142</v>
      </c>
    </row>
    <row r="115" ht="42.0" customHeight="1">
      <c r="A115" s="62" t="str">
        <f>IMAGE("https://bdocodex.com/items/new_icon/03_etc/10_free_tradeitem/00800204.webp")</f>
        <v>#REF!</v>
      </c>
      <c r="B115" s="61" t="s">
        <v>143</v>
      </c>
    </row>
    <row r="116" ht="42.0" customHeight="1">
      <c r="A116" s="62" t="str">
        <f>IMAGE("https://bdocodex.com/items/new_icon/03_etc/10_free_tradeitem/00800205.webp")</f>
        <v>#REF!</v>
      </c>
      <c r="B116" s="61" t="s">
        <v>144</v>
      </c>
    </row>
    <row r="117" ht="42.0" customHeight="1">
      <c r="A117" s="62" t="str">
        <f>IMAGE("https://bdocodex.com/items/new_icon/03_etc/10_free_tradeitem/00800206.webp")</f>
        <v>#REF!</v>
      </c>
      <c r="B117" s="61" t="s">
        <v>145</v>
      </c>
    </row>
    <row r="118" ht="42.0" customHeight="1">
      <c r="A118" s="62" t="str">
        <f>IMAGE("https://bdocodex.com/items/new_icon/03_etc/10_free_tradeitem/00800207.webp")</f>
        <v>#REF!</v>
      </c>
      <c r="B118" s="61" t="s">
        <v>146</v>
      </c>
    </row>
    <row r="119" ht="42.0" customHeight="1">
      <c r="A119" s="62"/>
      <c r="B119" s="61" t="s">
        <v>165</v>
      </c>
    </row>
    <row r="120" ht="42.0" customHeight="1">
      <c r="A120" s="62" t="str">
        <f>IMAGE("https://bdocodex.com/items/new_icon/03_etc/10_free_tradeitem/00800209.webp")</f>
        <v>#REF!</v>
      </c>
      <c r="B120" s="61" t="s">
        <v>149</v>
      </c>
    </row>
    <row r="121" ht="42.0" customHeight="1">
      <c r="A121" s="62" t="str">
        <f>IMAGE("https://bdocodex.com/items/new_icon/03_etc/10_free_tradeitem/00800210.webp")</f>
        <v>#REF!</v>
      </c>
      <c r="B121" s="61" t="s">
        <v>150</v>
      </c>
    </row>
    <row r="122" ht="42.0" customHeight="1">
      <c r="A122" s="62" t="str">
        <f>IMAGE("https://bdocodex.com/items/new_icon/03_etc/10_free_tradeitem/00800211.webp")</f>
        <v>#REF!</v>
      </c>
      <c r="B122" s="61" t="s">
        <v>151</v>
      </c>
    </row>
    <row r="123" ht="42.0" customHeight="1">
      <c r="A123" s="62"/>
      <c r="B123" s="61" t="s">
        <v>153</v>
      </c>
    </row>
    <row r="124" ht="42.0" customHeight="1">
      <c r="A124" s="62" t="str">
        <f>IMAGE("https://bdocodex.com/items/new_icon/03_etc/10_free_tradeitem/00800237.webp")</f>
        <v>#REF!</v>
      </c>
      <c r="B124" s="61" t="s">
        <v>154</v>
      </c>
    </row>
    <row r="125" ht="42.0" customHeight="1">
      <c r="A125" s="62" t="str">
        <f>IMAGE("https://bdocodex.com/items/new_icon/03_etc/10_free_tradeitem/00800238.webp")</f>
        <v>#REF!</v>
      </c>
      <c r="B125" s="61" t="s">
        <v>155</v>
      </c>
    </row>
    <row r="126" ht="42.0" customHeight="1">
      <c r="A126" s="62" t="str">
        <f>IMAGE("https://bdocodex.com/items/new_icon/03_etc/10_free_tradeitem/00800239.webp")</f>
        <v>#REF!</v>
      </c>
      <c r="B126" s="61" t="s">
        <v>156</v>
      </c>
    </row>
    <row r="127" ht="42.0" customHeight="1">
      <c r="A127" s="62" t="str">
        <f>IMAGE("https://bdocodex.com/items/new_icon/03_etc/10_free_tradeitem/00800240.webp")</f>
        <v>#REF!</v>
      </c>
      <c r="B127" s="61" t="s">
        <v>157</v>
      </c>
    </row>
    <row r="128" ht="42.0" customHeight="1">
      <c r="A128" s="62" t="str">
        <f>IMAGE("https://bdocodex.com/items/new_icon/03_etc/10_free_tradeitem/00800241.webp")</f>
        <v>#REF!</v>
      </c>
      <c r="B128" s="61" t="s">
        <v>132</v>
      </c>
    </row>
    <row r="129" ht="42.0" customHeight="1">
      <c r="A129" s="62" t="str">
        <f>IMAGE("https://bdocodex.com/items/new_icon/03_etc/10_free_tradeitem/00800242.webp")</f>
        <v>#REF!</v>
      </c>
      <c r="B129" s="61" t="s">
        <v>133</v>
      </c>
    </row>
    <row r="130" ht="42.0" customHeight="1">
      <c r="A130" s="62" t="str">
        <f>IMAGE("https://bdocodex.com/items/new_icon/03_etc/10_free_tradeitem/00800243.webp")</f>
        <v>#REF!</v>
      </c>
      <c r="B130" s="61" t="s">
        <v>134</v>
      </c>
    </row>
    <row r="131" ht="42.0" customHeight="1">
      <c r="A131" s="62" t="str">
        <f>IMAGE("https://bdocodex.com/items/new_icon/03_etc/10_free_tradeitem/00800244.webp")</f>
        <v>#REF!</v>
      </c>
      <c r="B131" s="61" t="s">
        <v>135</v>
      </c>
    </row>
    <row r="132" ht="42.0" customHeight="1">
      <c r="A132" s="62" t="str">
        <f>IMAGE("https://bdocodex.com/items/new_icon/03_etc/10_free_tradeitem/00800233.webp")</f>
        <v>#REF!</v>
      </c>
      <c r="B132" s="61" t="s">
        <v>136</v>
      </c>
    </row>
    <row r="133" ht="42.0" customHeight="1">
      <c r="A133" s="62" t="str">
        <f>IMAGE("https://bdocodex.com/items/new_icon/03_etc/10_free_tradeitem/00800234.webp")</f>
        <v>#REF!</v>
      </c>
      <c r="B133" s="61" t="s">
        <v>137</v>
      </c>
    </row>
    <row r="134" ht="42.0" customHeight="1">
      <c r="A134" s="62" t="str">
        <f>IMAGE("https://bdocodex.com/items/new_icon/03_etc/10_free_tradeitem/00800235.webp")</f>
        <v>#REF!</v>
      </c>
      <c r="B134" s="61" t="s">
        <v>138</v>
      </c>
    </row>
    <row r="135" ht="42.0" customHeight="1">
      <c r="A135" s="62" t="str">
        <f>IMAGE("https://bdocodex.com/items/new_icon/03_etc/10_free_tradeitem/00800236.webp")</f>
        <v>#REF!</v>
      </c>
      <c r="B135" s="61" t="s">
        <v>139</v>
      </c>
    </row>
    <row r="136" ht="42.0" customHeight="1">
      <c r="A136" s="63"/>
    </row>
    <row r="137" ht="42.0" customHeight="1">
      <c r="A137" s="63"/>
    </row>
    <row r="138" ht="42.0" customHeight="1">
      <c r="A138" s="63"/>
    </row>
    <row r="139" ht="42.0" customHeight="1">
      <c r="A139" s="63"/>
    </row>
    <row r="140" ht="42.0" customHeight="1">
      <c r="A140" s="63"/>
    </row>
    <row r="141" ht="42.0" customHeight="1">
      <c r="A141" s="63"/>
    </row>
    <row r="142" ht="42.0" customHeight="1">
      <c r="A142" s="63"/>
    </row>
    <row r="143" ht="42.0" customHeight="1">
      <c r="A143" s="63"/>
    </row>
    <row r="144" ht="42.0" customHeight="1">
      <c r="A144" s="63"/>
    </row>
    <row r="145" ht="42.0" customHeight="1">
      <c r="A145" s="63"/>
    </row>
    <row r="146" ht="42.0" customHeight="1">
      <c r="A146" s="63"/>
    </row>
    <row r="147" ht="42.0" customHeight="1">
      <c r="A147" s="63"/>
    </row>
    <row r="148" ht="42.0" customHeight="1">
      <c r="A148" s="63"/>
    </row>
    <row r="149" ht="42.0" customHeight="1">
      <c r="A149" s="63"/>
    </row>
    <row r="150" ht="42.0" customHeight="1">
      <c r="A150" s="63"/>
    </row>
    <row r="151" ht="42.0" customHeight="1">
      <c r="A151" s="63"/>
    </row>
    <row r="152" ht="42.0" customHeight="1">
      <c r="A152" s="63"/>
    </row>
    <row r="153" ht="42.0" customHeight="1">
      <c r="A153" s="63"/>
    </row>
    <row r="154" ht="42.0" customHeight="1">
      <c r="A154" s="63"/>
    </row>
    <row r="155" ht="42.0" customHeight="1">
      <c r="A155" s="63"/>
    </row>
    <row r="156" ht="42.0" customHeight="1">
      <c r="A156" s="63"/>
    </row>
    <row r="157" ht="42.0" customHeight="1">
      <c r="A157" s="63"/>
    </row>
    <row r="158" ht="42.0" customHeight="1">
      <c r="A158" s="63"/>
    </row>
    <row r="159" ht="42.0" customHeight="1">
      <c r="A159" s="63"/>
    </row>
    <row r="160" ht="42.0" customHeight="1">
      <c r="A160" s="63"/>
    </row>
    <row r="161" ht="42.0" customHeight="1">
      <c r="A161" s="63"/>
    </row>
    <row r="162" ht="42.0" customHeight="1">
      <c r="A162" s="63"/>
    </row>
    <row r="163" ht="42.0" customHeight="1">
      <c r="A163" s="63"/>
    </row>
    <row r="164" ht="42.0" customHeight="1">
      <c r="A164" s="63"/>
    </row>
    <row r="165" ht="42.0" customHeight="1">
      <c r="A165" s="63"/>
    </row>
    <row r="166" ht="42.0" customHeight="1">
      <c r="A166" s="63"/>
    </row>
    <row r="167" ht="42.0" customHeight="1">
      <c r="A167" s="63"/>
    </row>
    <row r="168" ht="42.0" customHeight="1">
      <c r="A168" s="63"/>
    </row>
    <row r="169" ht="42.0" customHeight="1">
      <c r="A169" s="63"/>
    </row>
    <row r="170" ht="42.0" customHeight="1">
      <c r="A170" s="63"/>
    </row>
    <row r="171" ht="42.0" customHeight="1">
      <c r="A171" s="63"/>
    </row>
    <row r="172" ht="42.0" customHeight="1">
      <c r="A172" s="63"/>
    </row>
    <row r="173" ht="42.0" customHeight="1">
      <c r="A173" s="63"/>
    </row>
    <row r="174" ht="42.0" customHeight="1">
      <c r="A174" s="63"/>
    </row>
    <row r="175" ht="42.0" customHeight="1">
      <c r="A175" s="63"/>
    </row>
    <row r="176" ht="42.0" customHeight="1">
      <c r="A176" s="63"/>
    </row>
    <row r="177" ht="42.0" customHeight="1">
      <c r="A177" s="63"/>
    </row>
    <row r="178" ht="42.0" customHeight="1">
      <c r="A178" s="63"/>
    </row>
    <row r="179" ht="42.0" customHeight="1">
      <c r="A179" s="63"/>
    </row>
    <row r="180" ht="42.0" customHeight="1">
      <c r="A180" s="63"/>
    </row>
    <row r="181" ht="42.0" customHeight="1">
      <c r="A181" s="63"/>
    </row>
    <row r="182" ht="42.0" customHeight="1">
      <c r="A182" s="63"/>
    </row>
    <row r="183" ht="42.0" customHeight="1">
      <c r="A183" s="63"/>
    </row>
    <row r="184" ht="42.0" customHeight="1">
      <c r="A184" s="63"/>
    </row>
    <row r="185" ht="42.0" customHeight="1">
      <c r="A185" s="63"/>
    </row>
    <row r="186" ht="42.0" customHeight="1">
      <c r="A186" s="63"/>
    </row>
    <row r="187" ht="42.0" customHeight="1">
      <c r="A187" s="63"/>
    </row>
    <row r="188" ht="42.0" customHeight="1">
      <c r="A188" s="63"/>
    </row>
    <row r="189" ht="42.0" customHeight="1">
      <c r="A189" s="63"/>
    </row>
    <row r="190" ht="42.0" customHeight="1">
      <c r="A190" s="63"/>
    </row>
    <row r="191" ht="42.0" customHeight="1">
      <c r="A191" s="63"/>
    </row>
    <row r="192" ht="42.0" customHeight="1">
      <c r="A192" s="63"/>
    </row>
    <row r="193" ht="42.0" customHeight="1">
      <c r="A193" s="63"/>
    </row>
    <row r="194" ht="42.0" customHeight="1">
      <c r="A194" s="63"/>
    </row>
    <row r="195" ht="42.0" customHeight="1">
      <c r="A195" s="63"/>
    </row>
    <row r="196" ht="42.0" customHeight="1">
      <c r="A196" s="63"/>
    </row>
    <row r="197" ht="42.0" customHeight="1">
      <c r="A197" s="63"/>
    </row>
    <row r="198" ht="42.0" customHeight="1">
      <c r="A198" s="63"/>
    </row>
    <row r="199" ht="42.0" customHeight="1">
      <c r="A199" s="63"/>
    </row>
    <row r="200" ht="42.0" customHeight="1">
      <c r="A200" s="63"/>
    </row>
    <row r="201" ht="42.0" customHeight="1">
      <c r="A201" s="63"/>
    </row>
    <row r="202" ht="42.0" customHeight="1">
      <c r="A202" s="63"/>
    </row>
    <row r="203" ht="42.0" customHeight="1">
      <c r="A203" s="63"/>
    </row>
    <row r="204" ht="42.0" customHeight="1">
      <c r="A204" s="63"/>
    </row>
    <row r="205" ht="42.0" customHeight="1">
      <c r="A205" s="63"/>
    </row>
    <row r="206" ht="42.0" customHeight="1">
      <c r="A206" s="63"/>
    </row>
    <row r="207" ht="42.0" customHeight="1">
      <c r="A207" s="63"/>
    </row>
    <row r="208" ht="42.0" customHeight="1">
      <c r="A208" s="63"/>
    </row>
    <row r="209" ht="42.0" customHeight="1">
      <c r="A209" s="63"/>
    </row>
    <row r="210" ht="42.0" customHeight="1">
      <c r="A210" s="63"/>
    </row>
    <row r="211" ht="42.0" customHeight="1">
      <c r="A211" s="63"/>
    </row>
    <row r="212" ht="42.0" customHeight="1">
      <c r="A212" s="63"/>
    </row>
    <row r="213" ht="42.0" customHeight="1">
      <c r="A213" s="63"/>
    </row>
    <row r="214" ht="42.0" customHeight="1">
      <c r="A214" s="63"/>
    </row>
    <row r="215" ht="42.0" customHeight="1">
      <c r="A215" s="63"/>
    </row>
    <row r="216" ht="42.0" customHeight="1">
      <c r="A216" s="63"/>
    </row>
    <row r="217" ht="42.0" customHeight="1">
      <c r="A217" s="63"/>
    </row>
    <row r="218" ht="42.0" customHeight="1">
      <c r="A218" s="63"/>
    </row>
    <row r="219" ht="42.0" customHeight="1">
      <c r="A219" s="63"/>
    </row>
    <row r="220" ht="42.0" customHeight="1">
      <c r="A220" s="63"/>
    </row>
    <row r="221" ht="15.75" customHeight="1">
      <c r="A221" s="63"/>
    </row>
    <row r="222" ht="15.75" customHeight="1">
      <c r="A222" s="63"/>
    </row>
    <row r="223" ht="15.75" customHeight="1">
      <c r="A223" s="63"/>
    </row>
    <row r="224" ht="15.75" customHeight="1">
      <c r="A224" s="63"/>
    </row>
    <row r="225" ht="15.75" customHeight="1">
      <c r="A225" s="63"/>
    </row>
    <row r="226" ht="15.75" customHeight="1">
      <c r="A226" s="63"/>
    </row>
    <row r="227" ht="15.75" customHeight="1">
      <c r="A227" s="63"/>
    </row>
    <row r="228" ht="15.75" customHeight="1">
      <c r="A228" s="63"/>
    </row>
    <row r="229" ht="15.75" customHeight="1">
      <c r="A229" s="63"/>
    </row>
    <row r="230" ht="15.75" customHeight="1">
      <c r="A230" s="63"/>
    </row>
    <row r="231" ht="15.75" customHeight="1">
      <c r="A231" s="63"/>
    </row>
    <row r="232" ht="15.75" customHeight="1">
      <c r="A232" s="63"/>
    </row>
    <row r="233" ht="15.75" customHeight="1">
      <c r="A233" s="63"/>
    </row>
    <row r="234" ht="15.75" customHeight="1">
      <c r="A234" s="63"/>
    </row>
    <row r="235" ht="15.75" customHeight="1">
      <c r="A235" s="63"/>
    </row>
    <row r="236" ht="15.75" customHeight="1">
      <c r="A236" s="63"/>
    </row>
    <row r="237" ht="15.75" customHeight="1">
      <c r="A237" s="63"/>
    </row>
    <row r="238" ht="15.75" customHeight="1">
      <c r="A238" s="63"/>
    </row>
    <row r="239" ht="15.75" customHeight="1">
      <c r="A239" s="63"/>
    </row>
    <row r="240" ht="15.75" customHeight="1">
      <c r="A240" s="63"/>
    </row>
    <row r="241" ht="15.75" customHeight="1">
      <c r="A241" s="63"/>
    </row>
    <row r="242" ht="15.75" customHeight="1">
      <c r="A242" s="63"/>
    </row>
    <row r="243" ht="15.75" customHeight="1">
      <c r="A243" s="63"/>
    </row>
    <row r="244" ht="15.75" customHeight="1">
      <c r="A244" s="63"/>
    </row>
    <row r="245" ht="15.75" customHeight="1">
      <c r="A245" s="63"/>
    </row>
    <row r="246" ht="15.75" customHeight="1">
      <c r="A246" s="63"/>
    </row>
    <row r="247" ht="15.75" customHeight="1">
      <c r="A247" s="63"/>
    </row>
    <row r="248" ht="15.75" customHeight="1">
      <c r="A248" s="63"/>
    </row>
    <row r="249" ht="15.75" customHeight="1">
      <c r="A249" s="63"/>
    </row>
    <row r="250" ht="15.75" customHeight="1">
      <c r="A250" s="63"/>
    </row>
    <row r="251" ht="15.75" customHeight="1">
      <c r="A251" s="63"/>
    </row>
    <row r="252" ht="15.75" customHeight="1">
      <c r="A252" s="63"/>
    </row>
    <row r="253" ht="15.75" customHeight="1">
      <c r="A253" s="63"/>
    </row>
    <row r="254" ht="15.75" customHeight="1">
      <c r="A254" s="63"/>
    </row>
    <row r="255" ht="15.75" customHeight="1">
      <c r="A255" s="63"/>
    </row>
    <row r="256" ht="15.75" customHeight="1">
      <c r="A256" s="63"/>
    </row>
    <row r="257" ht="15.75" customHeight="1">
      <c r="A257" s="63"/>
    </row>
    <row r="258" ht="15.75" customHeight="1">
      <c r="A258" s="63"/>
    </row>
    <row r="259" ht="15.75" customHeight="1">
      <c r="A259" s="63"/>
    </row>
    <row r="260" ht="15.75" customHeight="1">
      <c r="A260" s="63"/>
    </row>
    <row r="261" ht="15.75" customHeight="1">
      <c r="A261" s="63"/>
    </row>
    <row r="262" ht="15.75" customHeight="1">
      <c r="A262" s="63"/>
    </row>
    <row r="263" ht="15.75" customHeight="1">
      <c r="A263" s="63"/>
    </row>
    <row r="264" ht="15.75" customHeight="1">
      <c r="A264" s="63"/>
    </row>
    <row r="265" ht="15.75" customHeight="1">
      <c r="A265" s="63"/>
    </row>
    <row r="266" ht="15.75" customHeight="1">
      <c r="A266" s="63"/>
    </row>
    <row r="267" ht="15.75" customHeight="1">
      <c r="A267" s="63"/>
    </row>
    <row r="268" ht="15.75" customHeight="1">
      <c r="A268" s="63"/>
    </row>
    <row r="269" ht="15.75" customHeight="1">
      <c r="A269" s="63"/>
    </row>
    <row r="270" ht="15.75" customHeight="1">
      <c r="A270" s="63"/>
    </row>
    <row r="271" ht="15.75" customHeight="1">
      <c r="A271" s="63"/>
    </row>
    <row r="272" ht="15.75" customHeight="1">
      <c r="A272" s="63"/>
    </row>
    <row r="273" ht="15.75" customHeight="1">
      <c r="A273" s="63"/>
    </row>
    <row r="274" ht="15.75" customHeight="1">
      <c r="A274" s="63"/>
    </row>
    <row r="275" ht="15.75" customHeight="1">
      <c r="A275" s="63"/>
    </row>
    <row r="276" ht="15.75" customHeight="1">
      <c r="A276" s="63"/>
    </row>
    <row r="277" ht="15.75" customHeight="1">
      <c r="A277" s="63"/>
    </row>
    <row r="278" ht="15.75" customHeight="1">
      <c r="A278" s="63"/>
    </row>
    <row r="279" ht="15.75" customHeight="1">
      <c r="A279" s="63"/>
    </row>
    <row r="280" ht="15.75" customHeight="1">
      <c r="A280" s="63"/>
    </row>
    <row r="281" ht="15.75" customHeight="1">
      <c r="A281" s="63"/>
    </row>
    <row r="282" ht="15.75" customHeight="1">
      <c r="A282" s="63"/>
    </row>
    <row r="283" ht="15.75" customHeight="1">
      <c r="A283" s="63"/>
    </row>
    <row r="284" ht="15.75" customHeight="1">
      <c r="A284" s="63"/>
    </row>
    <row r="285" ht="15.75" customHeight="1">
      <c r="A285" s="63"/>
    </row>
    <row r="286" ht="15.75" customHeight="1">
      <c r="A286" s="63"/>
    </row>
    <row r="287" ht="15.75" customHeight="1">
      <c r="A287" s="63"/>
    </row>
    <row r="288" ht="15.75" customHeight="1">
      <c r="A288" s="63"/>
    </row>
    <row r="289" ht="15.75" customHeight="1">
      <c r="A289" s="63"/>
    </row>
    <row r="290" ht="15.75" customHeight="1">
      <c r="A290" s="63"/>
    </row>
    <row r="291" ht="15.75" customHeight="1">
      <c r="A291" s="63"/>
    </row>
    <row r="292" ht="15.75" customHeight="1">
      <c r="A292" s="63"/>
    </row>
    <row r="293" ht="15.75" customHeight="1">
      <c r="A293" s="63"/>
    </row>
    <row r="294" ht="15.75" customHeight="1">
      <c r="A294" s="63"/>
    </row>
    <row r="295" ht="15.75" customHeight="1">
      <c r="A295" s="63"/>
    </row>
    <row r="296" ht="15.75" customHeight="1">
      <c r="A296" s="63"/>
    </row>
    <row r="297" ht="15.75" customHeight="1">
      <c r="A297" s="63"/>
    </row>
    <row r="298" ht="15.75" customHeight="1">
      <c r="A298" s="63"/>
    </row>
    <row r="299" ht="15.75" customHeight="1">
      <c r="A299" s="63"/>
    </row>
    <row r="300" ht="15.75" customHeight="1">
      <c r="A300" s="63"/>
    </row>
    <row r="301" ht="15.75" customHeight="1">
      <c r="A301" s="63"/>
    </row>
    <row r="302" ht="15.75" customHeight="1">
      <c r="A302" s="63"/>
    </row>
    <row r="303" ht="15.75" customHeight="1">
      <c r="A303" s="63"/>
    </row>
    <row r="304" ht="15.75" customHeight="1">
      <c r="A304" s="63"/>
    </row>
    <row r="305" ht="15.75" customHeight="1">
      <c r="A305" s="63"/>
    </row>
    <row r="306" ht="15.75" customHeight="1">
      <c r="A306" s="63"/>
    </row>
    <row r="307" ht="15.75" customHeight="1">
      <c r="A307" s="63"/>
    </row>
    <row r="308" ht="15.75" customHeight="1">
      <c r="A308" s="63"/>
    </row>
    <row r="309" ht="15.75" customHeight="1">
      <c r="A309" s="63"/>
    </row>
    <row r="310" ht="15.75" customHeight="1">
      <c r="A310" s="63"/>
    </row>
    <row r="311" ht="15.75" customHeight="1">
      <c r="A311" s="63"/>
    </row>
    <row r="312" ht="15.75" customHeight="1">
      <c r="A312" s="63"/>
    </row>
    <row r="313" ht="15.75" customHeight="1">
      <c r="A313" s="63"/>
    </row>
    <row r="314" ht="15.75" customHeight="1">
      <c r="A314" s="63"/>
    </row>
    <row r="315" ht="15.75" customHeight="1">
      <c r="A315" s="63"/>
    </row>
    <row r="316" ht="15.75" customHeight="1">
      <c r="A316" s="63"/>
    </row>
    <row r="317" ht="15.75" customHeight="1">
      <c r="A317" s="63"/>
    </row>
    <row r="318" ht="15.75" customHeight="1">
      <c r="A318" s="63"/>
    </row>
    <row r="319" ht="15.75" customHeight="1">
      <c r="A319" s="63"/>
    </row>
    <row r="320" ht="15.75" customHeight="1">
      <c r="A320" s="63"/>
    </row>
    <row r="321" ht="15.75" customHeight="1">
      <c r="A321" s="63"/>
    </row>
    <row r="322" ht="15.75" customHeight="1">
      <c r="A322" s="63"/>
    </row>
    <row r="323" ht="15.75" customHeight="1">
      <c r="A323" s="63"/>
    </row>
    <row r="324" ht="15.75" customHeight="1">
      <c r="A324" s="63"/>
    </row>
    <row r="325" ht="15.75" customHeight="1">
      <c r="A325" s="63"/>
    </row>
    <row r="326" ht="15.75" customHeight="1">
      <c r="A326" s="63"/>
    </row>
    <row r="327" ht="15.75" customHeight="1">
      <c r="A327" s="63"/>
    </row>
    <row r="328" ht="15.75" customHeight="1">
      <c r="A328" s="63"/>
    </row>
    <row r="329" ht="15.75" customHeight="1">
      <c r="A329" s="63"/>
    </row>
    <row r="330" ht="15.75" customHeight="1">
      <c r="A330" s="63"/>
    </row>
    <row r="331" ht="15.75" customHeight="1">
      <c r="A331" s="63"/>
    </row>
    <row r="332" ht="15.75" customHeight="1">
      <c r="A332" s="63"/>
    </row>
    <row r="333" ht="15.75" customHeight="1">
      <c r="A333" s="63"/>
    </row>
    <row r="334" ht="15.75" customHeight="1">
      <c r="A334" s="63"/>
    </row>
    <row r="335" ht="15.75" customHeight="1">
      <c r="A335" s="63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36"/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37.38"/>
    <col customWidth="1" min="3" max="3" width="12.63"/>
    <col customWidth="1" min="4" max="4" width="31.38"/>
    <col customWidth="1" min="5" max="5" width="26.38"/>
    <col customWidth="1" min="6" max="6" width="34.75"/>
    <col customWidth="1" min="8" max="8" width="30.13"/>
    <col customWidth="1" min="9" max="9" width="13.5"/>
    <col customWidth="1" min="10" max="10" width="35.0"/>
    <col customWidth="1" min="11" max="11" width="15.5"/>
    <col customWidth="1" min="12" max="12" width="38.63"/>
  </cols>
  <sheetData>
    <row r="1" ht="18.0" customHeight="1">
      <c r="A1" s="59" t="s">
        <v>158</v>
      </c>
      <c r="B1" s="59" t="s">
        <v>159</v>
      </c>
      <c r="C1" s="59" t="s">
        <v>158</v>
      </c>
      <c r="D1" s="59" t="s">
        <v>159</v>
      </c>
      <c r="E1" s="59" t="s">
        <v>158</v>
      </c>
      <c r="F1" s="59" t="s">
        <v>159</v>
      </c>
      <c r="G1" s="59" t="s">
        <v>158</v>
      </c>
      <c r="H1" s="59" t="s">
        <v>159</v>
      </c>
      <c r="I1" s="59" t="s">
        <v>158</v>
      </c>
      <c r="J1" s="59" t="s">
        <v>159</v>
      </c>
      <c r="K1" s="59" t="s">
        <v>158</v>
      </c>
      <c r="L1" s="59" t="s">
        <v>159</v>
      </c>
    </row>
    <row r="2" ht="42.0" customHeight="1">
      <c r="A2" s="60" t="str">
        <f>IMAGE("https://bdocodex.com/items/new_icon/03_etc/10_free_tradeitem/00800060.webp")</f>
        <v>#REF!</v>
      </c>
      <c r="B2" s="61" t="s">
        <v>94</v>
      </c>
      <c r="C2" s="60" t="str">
        <f>IMAGE("https://bdocodex.com/items/new_icon/03_etc/10_free_tradeitem/00800042.webp")</f>
        <v>#REF!</v>
      </c>
      <c r="D2" s="61" t="s">
        <v>163</v>
      </c>
      <c r="E2" s="60" t="str">
        <f>IMAGE("https://bdocodex.com/items/new_icon/03_etc/10_free_tradeitem/00800054.webp")</f>
        <v>#REF!</v>
      </c>
      <c r="F2" s="61" t="s">
        <v>16</v>
      </c>
      <c r="G2" s="60" t="str">
        <f>IMAGE("https://bdocodex.com/items/new_icon/03_etc/10_free_tradeitem/00800061.webp")</f>
        <v>#REF!</v>
      </c>
      <c r="H2" s="61" t="s">
        <v>47</v>
      </c>
      <c r="I2" s="60" t="str">
        <f>IMAGE("https://bdocodex.com/items/new_icon/03_etc/10_free_tradeitem/00800046.webp")</f>
        <v>#REF!</v>
      </c>
      <c r="J2" s="61" t="s">
        <v>48</v>
      </c>
      <c r="K2" s="60" t="str">
        <f>IMAGE("https://bdocodex.com/items/new_icon/03_etc/10_free_tradeitem/00800008.webp")</f>
        <v>#REF!</v>
      </c>
      <c r="L2" s="61" t="s">
        <v>11</v>
      </c>
    </row>
    <row r="3" ht="42.0" customHeight="1">
      <c r="A3" s="60" t="str">
        <f>IMAGE("https://bdocodex.com/items/new_icon/03_etc/10_free_tradeitem/00800035.webp")</f>
        <v>#REF!</v>
      </c>
      <c r="B3" s="61" t="s">
        <v>96</v>
      </c>
      <c r="C3" s="60" t="str">
        <f>IMAGE("https://bdocodex.com/items/new_icon/03_etc/10_free_tradeitem/00800054.webp")</f>
        <v>#REF!</v>
      </c>
      <c r="D3" s="61" t="s">
        <v>16</v>
      </c>
      <c r="E3" s="60" t="str">
        <f>IMAGE("https://bdocodex.com/items/new_icon/03_etc/10_free_tradeitem/00800056.webp")</f>
        <v>#REF!</v>
      </c>
      <c r="F3" s="61" t="s">
        <v>12</v>
      </c>
      <c r="G3" s="60" t="str">
        <f>IMAGE("https://bdocodex.com/items/new_icon/03_etc/10_free_tradeitem/00800025.webp")</f>
        <v>#REF!</v>
      </c>
      <c r="H3" s="61" t="s">
        <v>123</v>
      </c>
      <c r="I3" s="60" t="str">
        <f>IMAGE("https://bdocodex.com/items/new_icon/03_etc/10_free_tradeitem/00800009.webp")</f>
        <v>#REF!</v>
      </c>
      <c r="J3" s="61" t="s">
        <v>71</v>
      </c>
      <c r="K3" s="60" t="str">
        <f>IMAGE("https://bdocodex.com/items/new_icon/03_etc/10_free_tradeitem/00800037.webp")</f>
        <v>#REF!</v>
      </c>
      <c r="L3" s="61" t="s">
        <v>15</v>
      </c>
    </row>
    <row r="4" ht="42.0" customHeight="1">
      <c r="A4" s="60" t="str">
        <f>IMAGE("https://bdocodex.com/items/new_icon/03_etc/10_free_tradeitem/00800031.webp")</f>
        <v>#REF!</v>
      </c>
      <c r="B4" s="61" t="s">
        <v>98</v>
      </c>
      <c r="C4" s="60" t="str">
        <f>IMAGE("https://bdocodex.com/items/new_icon/03_etc/10_free_tradeitem/00800045.webp")</f>
        <v>#REF!</v>
      </c>
      <c r="D4" s="61" t="s">
        <v>24</v>
      </c>
      <c r="E4" s="60" t="str">
        <f>IMAGE("https://bdocodex.com/items/new_icon/03_etc/10_free_tradeitem/00800032.webp")</f>
        <v>#REF!</v>
      </c>
      <c r="F4" s="61" t="s">
        <v>65</v>
      </c>
      <c r="G4" s="60" t="str">
        <f>IMAGE("https://bdocodex.com/items/new_icon/03_etc/10_free_tradeitem/00800065.webp")</f>
        <v>#REF!</v>
      </c>
      <c r="H4" s="61" t="s">
        <v>58</v>
      </c>
      <c r="I4" s="60" t="str">
        <f>IMAGE("https://bdocodex.com/items/new_icon/03_etc/10_free_tradeitem/00800067.webp")</f>
        <v>#REF!</v>
      </c>
      <c r="J4" s="61" t="s">
        <v>14</v>
      </c>
      <c r="K4" s="60" t="str">
        <f>IMAGE("https://bdocodex.com/items/new_icon/03_etc/10_free_tradeitem/00800036.webp")</f>
        <v>#REF!</v>
      </c>
      <c r="L4" s="61" t="s">
        <v>23</v>
      </c>
    </row>
    <row r="5" ht="42.0" customHeight="1">
      <c r="A5" s="60" t="str">
        <f>IMAGE("https://bdocodex.com/items/new_icon/03_etc/10_free_tradeitem/00800021.webp")</f>
        <v>#REF!</v>
      </c>
      <c r="B5" s="61" t="s">
        <v>100</v>
      </c>
      <c r="C5" s="60" t="str">
        <f>IMAGE("https://bdocodex.com/items/new_icon/03_etc/10_free_tradeitem/00800032.webp")</f>
        <v>#REF!</v>
      </c>
      <c r="D5" s="61" t="s">
        <v>65</v>
      </c>
      <c r="E5" s="60" t="str">
        <f>IMAGE("https://bdocodex.com/items/new_icon/03_etc/10_free_tradeitem/00800052.webp")</f>
        <v>#REF!</v>
      </c>
      <c r="F5" s="61" t="s">
        <v>73</v>
      </c>
      <c r="G5" s="60" t="str">
        <f>IMAGE("https://bdocodex.com/items/new_icon/03_etc/10_free_tradeitem/00800043.webp")</f>
        <v>#REF!</v>
      </c>
      <c r="H5" s="61" t="s">
        <v>74</v>
      </c>
      <c r="I5" s="60" t="str">
        <f>IMAGE("https://bdocodex.com/items/new_icon/03_etc/10_free_tradeitem/00800011.webp")</f>
        <v>#REF!</v>
      </c>
      <c r="J5" s="61" t="s">
        <v>18</v>
      </c>
      <c r="K5" s="60" t="str">
        <f>IMAGE("https://bdocodex.com/items/new_icon/03_etc/10_free_tradeitem/00800015.webp")</f>
        <v>#REF!</v>
      </c>
      <c r="L5" s="61" t="s">
        <v>29</v>
      </c>
    </row>
    <row r="6" ht="42.0" customHeight="1">
      <c r="A6" s="60" t="str">
        <f>IMAGE("https://bdocodex.com/items/new_icon/03_etc/10_free_tradeitem/00800059.webp")</f>
        <v>#REF!</v>
      </c>
      <c r="B6" s="61" t="s">
        <v>102</v>
      </c>
      <c r="C6" s="60" t="str">
        <f>IMAGE("https://bdocodex.com/items/new_icon/03_etc/10_free_tradeitem/00800052.webp")</f>
        <v>#REF!</v>
      </c>
      <c r="D6" s="61" t="s">
        <v>73</v>
      </c>
      <c r="E6" s="60" t="str">
        <f>IMAGE("https://bdocodex.com/items/new_icon/03_etc/10_free_tradeitem/00800004.webp")</f>
        <v>#REF!</v>
      </c>
      <c r="F6" s="61" t="s">
        <v>79</v>
      </c>
      <c r="G6" s="60" t="str">
        <f>IMAGE("https://bdocodex.com/items/new_icon/03_etc/10_free_tradeitem/00800069.webp")</f>
        <v>#REF!</v>
      </c>
      <c r="H6" s="61" t="s">
        <v>42</v>
      </c>
      <c r="I6" s="60" t="str">
        <f>IMAGE("https://bdocodex.com/items/new_icon/03_etc/10_free_tradeitem/00800005.webp")</f>
        <v>#REF!</v>
      </c>
      <c r="J6" s="61" t="s">
        <v>54</v>
      </c>
      <c r="K6" s="60" t="str">
        <f>IMAGE("https://bdocodex.com/items/new_icon/03_etc/10_free_tradeitem/00800010.webp")</f>
        <v>#REF!</v>
      </c>
      <c r="L6" s="61" t="s">
        <v>35</v>
      </c>
    </row>
    <row r="7" ht="42.0" customHeight="1">
      <c r="A7" s="60" t="str">
        <f>IMAGE("https://bdocodex.com/items/new_icon/03_etc/10_free_tradeitem/00800049.webp")</f>
        <v>#REF!</v>
      </c>
      <c r="B7" s="61" t="s">
        <v>104</v>
      </c>
      <c r="C7" s="60" t="str">
        <f>IMAGE("https://bdocodex.com/items/new_icon/03_etc/10_free_tradeitem/00800034.webp")</f>
        <v>#REF!</v>
      </c>
      <c r="D7" s="61" t="s">
        <v>57</v>
      </c>
      <c r="E7" s="60" t="str">
        <f>IMAGE("https://bdocodex.com/items/new_icon/03_etc/10_free_tradeitem/00800012.webp")</f>
        <v>#REF!</v>
      </c>
      <c r="F7" s="61" t="s">
        <v>62</v>
      </c>
      <c r="G7" s="60" t="str">
        <f>IMAGE("https://bdocodex.com/items/new_icon/03_etc/10_free_tradeitem/00800018.webp")</f>
        <v>#REF!</v>
      </c>
      <c r="H7" s="61" t="s">
        <v>31</v>
      </c>
      <c r="I7" s="60" t="str">
        <f>IMAGE("https://bdocodex.com/items/new_icon/03_etc/10_free_tradeitem/00800028.webp")</f>
        <v>#REF!</v>
      </c>
      <c r="J7" s="61" t="s">
        <v>43</v>
      </c>
      <c r="K7" s="60" t="str">
        <f>IMAGE("https://bdocodex.com/items/new_icon/03_etc/10_free_tradeitem/00800033.webp")</f>
        <v>#REF!</v>
      </c>
      <c r="L7" s="61" t="s">
        <v>40</v>
      </c>
    </row>
    <row r="8" ht="42.0" customHeight="1">
      <c r="A8" s="60" t="str">
        <f>IMAGE("https://bdocodex.com/items/new_icon/03_etc/10_free_tradeitem/00800017.webp")</f>
        <v>#REF!</v>
      </c>
      <c r="B8" s="61" t="s">
        <v>106</v>
      </c>
      <c r="C8" s="60" t="str">
        <f>IMAGE("https://bdocodex.com/items/new_icon/03_etc/10_free_tradeitem/00800053.webp")</f>
        <v>#REF!</v>
      </c>
      <c r="D8" s="61" t="s">
        <v>69</v>
      </c>
      <c r="E8" s="60" t="str">
        <f>IMAGE("https://bdocodex.com/items/new_icon/03_etc/10_free_tradeitem/00800043.webp")</f>
        <v>#REF!</v>
      </c>
      <c r="F8" s="61" t="s">
        <v>74</v>
      </c>
      <c r="G8" s="60" t="str">
        <f>IMAGE("https://bdocodex.com/items/new_icon/03_etc/10_free_tradeitem/00800041.webp")</f>
        <v>#REF!</v>
      </c>
      <c r="H8" s="61" t="s">
        <v>25</v>
      </c>
      <c r="I8" s="60" t="str">
        <f>IMAGE("https://bdocodex.com/items/new_icon/03_etc/10_free_tradeitem/00800057.webp")</f>
        <v>#REF!</v>
      </c>
      <c r="J8" s="61" t="s">
        <v>67</v>
      </c>
      <c r="K8" s="60" t="str">
        <f>IMAGE("https://bdocodex.com/items/new_icon/03_etc/10_free_tradeitem/00800007.webp")</f>
        <v>#REF!</v>
      </c>
      <c r="L8" s="61" t="s">
        <v>45</v>
      </c>
    </row>
    <row r="9" ht="42.0" customHeight="1">
      <c r="A9" s="60" t="str">
        <f>IMAGE("https://bdocodex.com/items/new_icon/03_etc/07_productmaterial/00005806.webp")</f>
        <v>#REF!</v>
      </c>
      <c r="B9" s="61" t="s">
        <v>160</v>
      </c>
      <c r="C9" s="60" t="str">
        <f>IMAGE("https://bdocodex.com/items/new_icon/03_etc/10_free_tradeitem/00800002.webp")</f>
        <v>#REF!</v>
      </c>
      <c r="D9" s="61" t="s">
        <v>30</v>
      </c>
      <c r="E9" s="60" t="str">
        <f>IMAGE("https://bdocodex.com/items/new_icon/03_etc/10_free_tradeitem/00800025.webp")</f>
        <v>#REF!</v>
      </c>
      <c r="F9" s="61" t="s">
        <v>123</v>
      </c>
      <c r="G9" s="60" t="str">
        <f>IMAGE("https://bdocodex.com/items/new_icon/03_etc/10_free_tradeitem/00800066.webp")</f>
        <v>#REF!</v>
      </c>
      <c r="H9" s="61" t="s">
        <v>53</v>
      </c>
      <c r="I9" s="60" t="str">
        <f>IMAGE("https://bdocodex.com/items/new_icon/03_etc/10_free_tradeitem/00800039.webp")</f>
        <v>#REF!</v>
      </c>
      <c r="J9" s="61" t="s">
        <v>26</v>
      </c>
      <c r="K9" s="60" t="str">
        <f>IMAGE("https://bdocodex.com/items/new_icon/03_etc/10_free_tradeitem/00800006.webp")</f>
        <v>#REF!</v>
      </c>
      <c r="L9" s="61" t="s">
        <v>51</v>
      </c>
    </row>
    <row r="10" ht="42.0" customHeight="1">
      <c r="A10" s="60" t="str">
        <f>IMAGE("https://bdocodex.com/items/new_icon/03_etc/10_free_tradeitem/00800024.webp")</f>
        <v>#REF!</v>
      </c>
      <c r="B10" s="61" t="s">
        <v>4</v>
      </c>
      <c r="C10" s="60" t="str">
        <f>IMAGE("https://bdocodex.com/items/new_icon/03_etc/10_free_tradeitem/00800050.webp")</f>
        <v>#REF!</v>
      </c>
      <c r="D10" s="61" t="s">
        <v>52</v>
      </c>
      <c r="E10" s="60" t="str">
        <f>IMAGE("https://bdocodex.com/items/new_icon/03_etc/10_free_tradeitem/00800066.webp")</f>
        <v>#REF!</v>
      </c>
      <c r="F10" s="61" t="s">
        <v>53</v>
      </c>
      <c r="G10" s="60" t="str">
        <f>IMAGE("https://bdocodex.com/items/new_icon/03_etc/10_free_tradeitem/00800030.webp")</f>
        <v>#REF!</v>
      </c>
      <c r="H10" s="61" t="s">
        <v>17</v>
      </c>
      <c r="I10" s="60" t="str">
        <f>IMAGE("https://bdocodex.com/items/new_icon/03_etc/10_free_tradeitem/00800044.webp")</f>
        <v>#REF!</v>
      </c>
      <c r="J10" s="61" t="s">
        <v>36</v>
      </c>
      <c r="K10" s="60" t="str">
        <f>IMAGE("https://bdocodex.com/items/new_icon/03_etc/10_free_tradeitem/00800051.webp")</f>
        <v>#REF!</v>
      </c>
      <c r="L10" s="61" t="s">
        <v>56</v>
      </c>
    </row>
    <row r="11" ht="42.0" customHeight="1">
      <c r="A11" s="60" t="str">
        <f>IMAGE("https://bdocodex.com/items/new_icon/03_etc/10_free_tradeitem/00800029.webp")</f>
        <v>#REF!</v>
      </c>
      <c r="B11" s="61" t="s">
        <v>109</v>
      </c>
      <c r="C11" s="60" t="str">
        <f>IMAGE("https://bdocodex.com/items/new_icon/03_etc/10_free_tradeitem/00800070.webp")</f>
        <v>#REF!</v>
      </c>
      <c r="D11" s="61" t="s">
        <v>41</v>
      </c>
      <c r="E11" s="60" t="str">
        <f>IMAGE("https://bdocodex.com/items/new_icon/03_etc/10_free_tradeitem/00800018.webp")</f>
        <v>#REF!</v>
      </c>
      <c r="F11" s="61" t="s">
        <v>31</v>
      </c>
      <c r="G11" s="60" t="str">
        <f>IMAGE("https://bdocodex.com/items/new_icon/03_etc/10_free_tradeitem/00800062.webp")</f>
        <v>#REF!</v>
      </c>
      <c r="H11" s="61" t="s">
        <v>70</v>
      </c>
      <c r="I11" s="60" t="str">
        <f>IMAGE("https://bdocodex.com/items/new_icon/03_etc/10_free_tradeitem/00800055.webp")</f>
        <v>#REF!</v>
      </c>
      <c r="J11" s="61" t="s">
        <v>63</v>
      </c>
      <c r="K11" s="60" t="str">
        <f>IMAGE("https://bdocodex.com/items/new_icon/03_etc/10_free_tradeitem/00800022.webp")</f>
        <v>#REF!</v>
      </c>
      <c r="L11" s="61" t="s">
        <v>60</v>
      </c>
    </row>
    <row r="12" ht="42.0" customHeight="1">
      <c r="A12" s="60" t="str">
        <f>IMAGE("https://bdocodex.com/items/new_icon/03_etc/10_free_tradeitem/00800040.webp")</f>
        <v>#REF!</v>
      </c>
      <c r="B12" s="61" t="s">
        <v>111</v>
      </c>
      <c r="C12" s="60" t="str">
        <f>IMAGE("https://bdocodex.com/items/new_icon/03_etc/10_free_tradeitem/00800048.webp")</f>
        <v>#REF!</v>
      </c>
      <c r="D12" s="61" t="s">
        <v>46</v>
      </c>
      <c r="E12" s="60" t="str">
        <f>IMAGE("https://bdocodex.com/items/new_icon/03_etc/10_free_tradeitem/00800062.webp")</f>
        <v>#REF!</v>
      </c>
      <c r="F12" s="61" t="s">
        <v>70</v>
      </c>
      <c r="G12" s="60" t="str">
        <f>IMAGE("https://bdocodex.com/items/new_icon/03_etc/10_free_tradeitem/00800013.webp")</f>
        <v>#REF!</v>
      </c>
      <c r="H12" s="61" t="s">
        <v>37</v>
      </c>
      <c r="I12" s="62" t="str">
        <f>IMAGE("https://bdocodex.com/items/new_icon/03_etc/10_free_tradeitem/00800213.webp")</f>
        <v>#REF!</v>
      </c>
      <c r="J12" s="61" t="s">
        <v>125</v>
      </c>
      <c r="K12" s="60" t="str">
        <f>IMAGE("https://bdocodex.com/items/new_icon/03_etc/10_free_tradeitem/00800003.webp")</f>
        <v>#REF!</v>
      </c>
      <c r="L12" s="61" t="s">
        <v>64</v>
      </c>
    </row>
    <row r="13" ht="42.0" customHeight="1">
      <c r="A13" s="60" t="str">
        <f>IMAGE("https://bdocodex.com/items/new_icon/03_etc/10_free_tradeitem/00800023.webp")</f>
        <v>#REF!</v>
      </c>
      <c r="B13" s="61" t="s">
        <v>113</v>
      </c>
      <c r="C13" s="60" t="str">
        <f>IMAGE("https://bdocodex.com/items/new_icon/03_etc/10_free_tradeitem/00800047.webp")</f>
        <v>#REF!</v>
      </c>
      <c r="D13" s="61" t="s">
        <v>61</v>
      </c>
      <c r="E13" s="60" t="str">
        <f>IMAGE("https://bdocodex.com/items/new_icon/03_etc/10_free_tradeitem/00800025.webp")</f>
        <v>#REF!</v>
      </c>
      <c r="F13" s="61" t="s">
        <v>123</v>
      </c>
      <c r="G13" s="60" t="str">
        <f>IMAGE("https://bdocodex.com/items/new_icon/03_etc/10_free_tradeitem/00800019.webp")</f>
        <v>#REF!</v>
      </c>
      <c r="H13" s="61" t="s">
        <v>59</v>
      </c>
      <c r="I13" s="62" t="str">
        <f>IMAGE("https://bdocodex.com/items/new_icon/03_etc/10_free_tradeitem/00800214.webp")</f>
        <v>#REF!</v>
      </c>
      <c r="J13" s="61" t="s">
        <v>126</v>
      </c>
      <c r="K13" s="60" t="str">
        <f>IMAGE("https://bdocodex.com/items/new_icon/03_etc/10_free_tradeitem/00800026.webp")</f>
        <v>#REF!</v>
      </c>
      <c r="L13" s="61" t="s">
        <v>68</v>
      </c>
    </row>
    <row r="14" ht="42.0" customHeight="1">
      <c r="A14" s="60" t="str">
        <f>IMAGE("https://bdocodex.com/items/new_icon/03_etc/07_productmaterial/00005805.webp")</f>
        <v>#REF!</v>
      </c>
      <c r="B14" s="61" t="s">
        <v>161</v>
      </c>
      <c r="C14" s="60" t="str">
        <f>IMAGE("https://bdocodex.com/items/new_icon/03_etc/10_free_tradeitem/00800004.webp")</f>
        <v>#REF!</v>
      </c>
      <c r="D14" s="61" t="s">
        <v>79</v>
      </c>
      <c r="E14" s="60" t="str">
        <f>IMAGE("https://bdocodex.com/items/new_icon/03_etc/10_free_tradeitem/00800030.webp")</f>
        <v>#REF!</v>
      </c>
      <c r="F14" s="61" t="s">
        <v>17</v>
      </c>
      <c r="G14" s="60" t="str">
        <f>IMAGE("https://bdocodex.com/items/new_icon/03_etc/10_free_tradeitem/00800068.webp")</f>
        <v>#REF!</v>
      </c>
      <c r="H14" s="61" t="s">
        <v>148</v>
      </c>
      <c r="I14" s="62" t="str">
        <f>IMAGE("https://bdocodex.com/items/new_icon/03_etc/10_free_tradeitem/00800215.webp")</f>
        <v>#REF!</v>
      </c>
      <c r="J14" s="61" t="s">
        <v>127</v>
      </c>
      <c r="K14" s="60" t="str">
        <f>IMAGE("https://bdocodex.com/items/new_icon/03_etc/10_free_tradeitem/00800001.webp")</f>
        <v>#REF!</v>
      </c>
      <c r="L14" s="61" t="s">
        <v>72</v>
      </c>
    </row>
    <row r="15" ht="42.0" customHeight="1">
      <c r="A15" s="60" t="str">
        <f>IMAGE("https://bdocodex.com/items/new_icon/03_etc/10_free_tradeitem/00800020.webp")</f>
        <v>#REF!</v>
      </c>
      <c r="B15" s="61" t="s">
        <v>117</v>
      </c>
      <c r="C15" s="60" t="str">
        <f>IMAGE("https://bdocodex.com/items/new_icon/03_etc/10_free_tradeitem/00800056.webp")</f>
        <v>#REF!</v>
      </c>
      <c r="D15" s="61" t="s">
        <v>12</v>
      </c>
      <c r="E15" s="60" t="str">
        <f>IMAGE("https://bdocodex.com/items/new_icon/03_etc/10_free_tradeitem/00800038.webp")</f>
        <v>#REF!</v>
      </c>
      <c r="F15" s="61" t="s">
        <v>13</v>
      </c>
      <c r="G15" s="60" t="str">
        <f>IMAGE("https://bdocodex.com/items/new_icon/03_etc/10_free_tradeitem/00800014.webp")</f>
        <v>#REF!</v>
      </c>
      <c r="H15" s="61" t="s">
        <v>38</v>
      </c>
      <c r="I15" s="62" t="str">
        <f>IMAGE("https://bdocodex.com/items/new_icon/03_etc/10_free_tradeitem/00800216.webp")</f>
        <v>#REF!</v>
      </c>
      <c r="J15" s="61" t="s">
        <v>128</v>
      </c>
    </row>
    <row r="16" ht="42.0" customHeight="1">
      <c r="A16" s="60" t="str">
        <f>IMAGE("https://bdocodex.com/items/new_icon/03_etc/10_free_tradeitem/00800027.webp")</f>
        <v>#REF!</v>
      </c>
      <c r="B16" s="61" t="s">
        <v>162</v>
      </c>
      <c r="C16" s="60" t="str">
        <f>IMAGE("https://bdocodex.com/items/new_icon/03_etc/10_free_tradeitem/00800070.webp")</f>
        <v>#REF!</v>
      </c>
      <c r="D16" s="61" t="s">
        <v>41</v>
      </c>
      <c r="E16" s="60" t="str">
        <f>IMAGE("https://bdocodex.com/items/new_icon/03_etc/10_free_tradeitem/00800063.webp")</f>
        <v>#REF!</v>
      </c>
      <c r="F16" s="61" t="s">
        <v>66</v>
      </c>
      <c r="G16" s="60" t="str">
        <f>IMAGE("https://bdocodex.com/items/new_icon/03_etc/10_free_tradeitem/00800064.webp")</f>
        <v>#REF!</v>
      </c>
      <c r="H16" s="61" t="s">
        <v>32</v>
      </c>
      <c r="I16" s="62" t="str">
        <f>IMAGE("https://bdocodex.com/items/new_icon/03_etc/10_free_tradeitem/00800245.webp")</f>
        <v>#REF!</v>
      </c>
      <c r="J16" s="61" t="s">
        <v>129</v>
      </c>
    </row>
    <row r="17" ht="42.0" customHeight="1">
      <c r="C17" s="60" t="str">
        <f>IMAGE("https://bdocodex.com/items/new_icon/03_etc/10_free_tradeitem/00800002.webp")</f>
        <v>#REF!</v>
      </c>
      <c r="D17" s="61" t="s">
        <v>30</v>
      </c>
      <c r="E17" s="60" t="str">
        <f>IMAGE("https://bdocodex.com/items/new_icon/03_etc/10_free_tradeitem/00800012.webp")</f>
        <v>#REF!</v>
      </c>
      <c r="F17" s="61" t="s">
        <v>62</v>
      </c>
      <c r="G17" s="60" t="str">
        <f>IMAGE("https://bdocodex.com/items/new_icon/03_etc/10_free_tradeitem/00800058.webp")</f>
        <v>#REF!</v>
      </c>
      <c r="H17" s="61" t="s">
        <v>152</v>
      </c>
      <c r="I17" s="62" t="str">
        <f>IMAGE("https://bdocodex.com/items/new_icon/03_etc/10_free_tradeitem/00800246.webp")</f>
        <v>#REF!</v>
      </c>
      <c r="J17" s="61" t="s">
        <v>130</v>
      </c>
    </row>
    <row r="18" ht="42.0" customHeight="1">
      <c r="A18" s="59" t="s">
        <v>158</v>
      </c>
      <c r="B18" s="59" t="s">
        <v>159</v>
      </c>
      <c r="C18" s="59" t="s">
        <v>158</v>
      </c>
      <c r="D18" s="59" t="s">
        <v>159</v>
      </c>
      <c r="E18" s="59" t="s">
        <v>158</v>
      </c>
      <c r="F18" s="59" t="s">
        <v>159</v>
      </c>
      <c r="G18" s="59" t="s">
        <v>158</v>
      </c>
      <c r="H18" s="59" t="s">
        <v>159</v>
      </c>
      <c r="I18" s="59" t="s">
        <v>158</v>
      </c>
      <c r="J18" s="59" t="s">
        <v>159</v>
      </c>
    </row>
    <row r="19" ht="42.0" customHeight="1">
      <c r="A19" s="62" t="str">
        <f>IMAGE("https://bdocodex.com/items/new_icon/03_etc/10_free_tradeitem/00800247.webp")</f>
        <v>#REF!</v>
      </c>
      <c r="B19" s="61" t="s">
        <v>95</v>
      </c>
      <c r="C19" s="62" t="str">
        <f>IMAGE("https://bdocodex.com/items/new_icon/03_etc/10_free_tradeitem/00800232.webp")</f>
        <v>#REF!</v>
      </c>
      <c r="D19" s="61" t="s">
        <v>110</v>
      </c>
      <c r="E19" s="62" t="str">
        <f>IMAGE("https://bdocodex.com/items/new_icon/03_etc/10_free_tradeitem/00800241.webp")</f>
        <v>#REF!</v>
      </c>
      <c r="F19" s="61" t="s">
        <v>132</v>
      </c>
      <c r="G19" s="62" t="str">
        <f>IMAGE("https://bdocodex.com/items/new_icon/03_etc/10_free_tradeitem/00800223.webp")</f>
        <v>#REF!</v>
      </c>
      <c r="H19" s="61" t="s">
        <v>112</v>
      </c>
      <c r="I19" s="62"/>
      <c r="J19" s="61" t="s">
        <v>165</v>
      </c>
    </row>
    <row r="20" ht="42.0" customHeight="1">
      <c r="A20" s="62" t="str">
        <f>IMAGE("https://bdocodex.com/items/new_icon/03_etc/10_free_tradeitem/00800248.webp")</f>
        <v>#REF!</v>
      </c>
      <c r="B20" s="61" t="s">
        <v>97</v>
      </c>
      <c r="C20" s="62" t="str">
        <f>IMAGE("https://bdocodex.com/items/new_icon/03_etc/10_free_tradeitem/00800201.webp")</f>
        <v>#REF!</v>
      </c>
      <c r="D20" s="61" t="s">
        <v>140</v>
      </c>
      <c r="E20" s="62" t="str">
        <f>IMAGE("https://bdocodex.com/items/new_icon/03_etc/10_free_tradeitem/00800242.webp")</f>
        <v>#REF!</v>
      </c>
      <c r="F20" s="61" t="s">
        <v>133</v>
      </c>
      <c r="G20" s="62" t="str">
        <f>IMAGE("https://bdocodex.com/items/new_icon/03_etc/10_free_tradeitem/00800224.webp")</f>
        <v>#REF!</v>
      </c>
      <c r="H20" s="61" t="s">
        <v>114</v>
      </c>
      <c r="I20" s="62" t="str">
        <f>IMAGE("https://bdocodex.com/items/new_icon/03_etc/10_free_tradeitem/00800209.webp")</f>
        <v>#REF!</v>
      </c>
      <c r="J20" s="61" t="s">
        <v>149</v>
      </c>
    </row>
    <row r="21" ht="42.0" customHeight="1">
      <c r="A21" s="62" t="str">
        <f>IMAGE("https://bdocodex.com/items/new_icon/03_etc/10_free_tradeitem/00800217.webp")</f>
        <v>#REF!</v>
      </c>
      <c r="B21" s="61" t="s">
        <v>99</v>
      </c>
      <c r="C21" s="62" t="str">
        <f>IMAGE("https://bdocodex.com/items/new_icon/03_etc/10_free_tradeitem/00800202.webp")</f>
        <v>#REF!</v>
      </c>
      <c r="D21" s="61" t="s">
        <v>141</v>
      </c>
      <c r="E21" s="62" t="str">
        <f>IMAGE("https://bdocodex.com/items/new_icon/03_etc/10_free_tradeitem/00800243.webp")</f>
        <v>#REF!</v>
      </c>
      <c r="F21" s="61" t="s">
        <v>134</v>
      </c>
      <c r="G21" s="62" t="str">
        <f>IMAGE("https://bdocodex.com/items/new_icon/03_etc/10_free_tradeitem/00800225.webp")</f>
        <v>#REF!</v>
      </c>
      <c r="H21" s="61" t="s">
        <v>116</v>
      </c>
      <c r="I21" s="62" t="str">
        <f>IMAGE("https://bdocodex.com/items/new_icon/03_etc/10_free_tradeitem/00800210.webp")</f>
        <v>#REF!</v>
      </c>
      <c r="J21" s="61" t="s">
        <v>150</v>
      </c>
    </row>
    <row r="22" ht="42.0" customHeight="1">
      <c r="A22" s="62" t="str">
        <f>IMAGE("https://bdocodex.com/items/new_icon/03_etc/10_free_tradeitem/00800218.webp")</f>
        <v>#REF!</v>
      </c>
      <c r="B22" s="61" t="s">
        <v>101</v>
      </c>
      <c r="C22" s="62" t="str">
        <f>IMAGE("https://bdocodex.com/items/new_icon/03_etc/10_free_tradeitem/00800203.webp")</f>
        <v>#REF!</v>
      </c>
      <c r="D22" s="61" t="s">
        <v>142</v>
      </c>
      <c r="E22" s="62" t="str">
        <f>IMAGE("https://bdocodex.com/items/new_icon/03_etc/10_free_tradeitem/00800244.webp")</f>
        <v>#REF!</v>
      </c>
      <c r="F22" s="61" t="s">
        <v>135</v>
      </c>
      <c r="G22" s="62" t="str">
        <f>IMAGE("https://bdocodex.com/items/new_icon/03_etc/10_free_tradeitem/00800226.webp")</f>
        <v>#REF!</v>
      </c>
      <c r="H22" s="61" t="s">
        <v>118</v>
      </c>
      <c r="I22" s="62" t="str">
        <f>IMAGE("https://bdocodex.com/items/new_icon/03_etc/10_free_tradeitem/00800211.webp")</f>
        <v>#REF!</v>
      </c>
      <c r="J22" s="61" t="s">
        <v>151</v>
      </c>
    </row>
    <row r="23" ht="42.0" customHeight="1">
      <c r="A23" s="62" t="str">
        <f>IMAGE("https://bdocodex.com/items/new_icon/03_etc/10_free_tradeitem/00800219.webp")</f>
        <v>#REF!</v>
      </c>
      <c r="B23" s="61" t="s">
        <v>103</v>
      </c>
      <c r="C23" s="62" t="str">
        <f>IMAGE("https://bdocodex.com/items/new_icon/03_etc/10_free_tradeitem/00800204.webp")</f>
        <v>#REF!</v>
      </c>
      <c r="D23" s="61" t="s">
        <v>143</v>
      </c>
      <c r="E23" s="62" t="str">
        <f>IMAGE("https://bdocodex.com/items/new_icon/03_etc/10_free_tradeitem/00800233.webp")</f>
        <v>#REF!</v>
      </c>
      <c r="F23" s="61" t="s">
        <v>136</v>
      </c>
      <c r="G23" s="62" t="str">
        <f>IMAGE("https://bdocodex.com/items/new_icon/03_etc/10_free_tradeitem/00800227.webp")</f>
        <v>#REF!</v>
      </c>
      <c r="H23" s="61" t="s">
        <v>119</v>
      </c>
      <c r="I23" s="62"/>
      <c r="J23" s="61" t="s">
        <v>153</v>
      </c>
    </row>
    <row r="24" ht="42.0" customHeight="1">
      <c r="A24" s="62" t="str">
        <f>IMAGE("https://bdocodex.com/items/new_icon/03_etc/10_free_tradeitem/00800220.webp")</f>
        <v>#REF!</v>
      </c>
      <c r="B24" s="61" t="s">
        <v>105</v>
      </c>
      <c r="C24" s="62" t="str">
        <f>IMAGE("https://bdocodex.com/items/new_icon/03_etc/10_free_tradeitem/00800205.webp")</f>
        <v>#REF!</v>
      </c>
      <c r="D24" s="61" t="s">
        <v>144</v>
      </c>
      <c r="E24" s="62" t="str">
        <f>IMAGE("https://bdocodex.com/items/new_icon/03_etc/10_free_tradeitem/00800234.webp")</f>
        <v>#REF!</v>
      </c>
      <c r="F24" s="61" t="s">
        <v>137</v>
      </c>
      <c r="G24" s="62" t="str">
        <f>IMAGE("https://bdocodex.com/items/new_icon/03_etc/10_free_tradeitem/00800228.webp")</f>
        <v>#REF!</v>
      </c>
      <c r="H24" s="61" t="s">
        <v>120</v>
      </c>
      <c r="I24" s="62" t="str">
        <f>IMAGE("https://bdocodex.com/items/new_icon/03_etc/10_free_tradeitem/00800237.webp")</f>
        <v>#REF!</v>
      </c>
      <c r="J24" s="61" t="s">
        <v>154</v>
      </c>
    </row>
    <row r="25" ht="42.0" customHeight="1">
      <c r="A25" s="62" t="str">
        <f>IMAGE("https://bdocodex.com/items/new_icon/03_etc/10_free_tradeitem/00800221.webp")</f>
        <v>#REF!</v>
      </c>
      <c r="B25" s="61" t="s">
        <v>107</v>
      </c>
      <c r="C25" s="62" t="str">
        <f>IMAGE("https://bdocodex.com/items/new_icon/03_etc/10_free_tradeitem/00800206.webp")</f>
        <v>#REF!</v>
      </c>
      <c r="D25" s="61" t="s">
        <v>145</v>
      </c>
      <c r="E25" s="62" t="str">
        <f>IMAGE("https://bdocodex.com/items/new_icon/03_etc/10_free_tradeitem/00800235.webp")</f>
        <v>#REF!</v>
      </c>
      <c r="F25" s="61" t="s">
        <v>138</v>
      </c>
      <c r="G25" s="62" t="str">
        <f>IMAGE("https://bdocodex.com/items/new_icon/03_etc/10_free_tradeitem/00800229.webp")</f>
        <v>#REF!</v>
      </c>
      <c r="H25" s="61" t="s">
        <v>164</v>
      </c>
      <c r="I25" s="62" t="str">
        <f>IMAGE("https://bdocodex.com/items/new_icon/03_etc/10_free_tradeitem/00800238.webp")</f>
        <v>#REF!</v>
      </c>
      <c r="J25" s="61" t="s">
        <v>155</v>
      </c>
    </row>
    <row r="26" ht="42.0" customHeight="1">
      <c r="A26" s="62" t="str">
        <f>IMAGE("https://bdocodex.com/items/new_icon/03_etc/10_free_tradeitem/00800222.webp")</f>
        <v>#REF!</v>
      </c>
      <c r="B26" s="61" t="s">
        <v>108</v>
      </c>
      <c r="C26" s="62" t="str">
        <f>IMAGE("https://bdocodex.com/items/new_icon/03_etc/10_free_tradeitem/00800207.webp")</f>
        <v>#REF!</v>
      </c>
      <c r="D26" s="61" t="s">
        <v>146</v>
      </c>
      <c r="E26" s="62" t="str">
        <f>IMAGE("https://bdocodex.com/items/new_icon/03_etc/10_free_tradeitem/00800236.webp")</f>
        <v>#REF!</v>
      </c>
      <c r="F26" s="61" t="s">
        <v>139</v>
      </c>
      <c r="G26" s="62" t="str">
        <f>IMAGE("https://bdocodex.com/items/new_icon/03_etc/10_free_tradeitem/00800230.webp")</f>
        <v>#REF!</v>
      </c>
      <c r="H26" s="61" t="s">
        <v>122</v>
      </c>
      <c r="I26" s="62" t="str">
        <f>IMAGE("https://bdocodex.com/items/new_icon/03_etc/10_free_tradeitem/00800239.webp")</f>
        <v>#REF!</v>
      </c>
      <c r="J26" s="61" t="s">
        <v>156</v>
      </c>
    </row>
    <row r="27" ht="42.0" customHeight="1">
      <c r="G27" s="62" t="str">
        <f>IMAGE("https://bdocodex.com/items/new_icon/03_etc/10_free_tradeitem/00800231.webp")</f>
        <v>#REF!</v>
      </c>
      <c r="H27" s="61" t="s">
        <v>124</v>
      </c>
      <c r="I27" s="62" t="str">
        <f>IMAGE("https://bdocodex.com/items/new_icon/03_etc/10_free_tradeitem/00800240.webp")</f>
        <v>#REF!</v>
      </c>
      <c r="J27" s="61" t="s">
        <v>157</v>
      </c>
    </row>
    <row r="28" ht="42.0" customHeight="1"/>
    <row r="29" ht="42.0" customHeight="1"/>
    <row r="30" ht="42.0" customHeight="1"/>
    <row r="31" ht="42.0" customHeight="1"/>
    <row r="32" ht="42.0" customHeight="1"/>
    <row r="33" ht="42.0" customHeight="1"/>
    <row r="34" ht="42.0" customHeight="1"/>
    <row r="35" ht="42.0" customHeight="1"/>
    <row r="36" ht="42.0" customHeight="1"/>
    <row r="37" ht="42.0" customHeight="1"/>
    <row r="38" ht="42.0" customHeight="1"/>
    <row r="39" ht="42.0" customHeight="1"/>
    <row r="40" ht="42.0" customHeight="1"/>
    <row r="41" ht="42.0" customHeight="1"/>
    <row r="42" ht="42.0" customHeight="1"/>
    <row r="43" ht="42.0" customHeight="1"/>
    <row r="44" ht="42.0" customHeight="1">
      <c r="C44" s="63"/>
    </row>
    <row r="45" ht="42.0" customHeight="1"/>
    <row r="46" ht="42.0" customHeight="1"/>
    <row r="47" ht="42.0" customHeight="1"/>
    <row r="48" ht="42.0" customHeight="1"/>
    <row r="49" ht="42.0" customHeight="1"/>
    <row r="50" ht="42.0" customHeight="1"/>
    <row r="51" ht="42.0" customHeight="1"/>
    <row r="52" ht="42.0" customHeight="1"/>
    <row r="53" ht="42.0" customHeight="1"/>
    <row r="54" ht="42.0" customHeight="1"/>
    <row r="55" ht="42.0" customHeight="1"/>
    <row r="56" ht="42.0" customHeight="1"/>
    <row r="57" ht="42.0" customHeight="1"/>
    <row r="58" ht="42.0" customHeight="1"/>
    <row r="59" ht="42.0" customHeight="1"/>
    <row r="60" ht="42.0" customHeight="1"/>
    <row r="61" ht="42.0" customHeight="1"/>
    <row r="62" ht="42.0" customHeight="1"/>
    <row r="63" ht="42.0" customHeight="1"/>
    <row r="64" ht="42.0" customHeight="1"/>
    <row r="65" ht="42.0" customHeight="1"/>
    <row r="66" ht="42.0" customHeight="1"/>
    <row r="67" ht="42.0" customHeight="1"/>
    <row r="68" ht="42.0" customHeight="1"/>
    <row r="69" ht="42.0" customHeight="1"/>
    <row r="70" ht="42.0" customHeight="1"/>
    <row r="71" ht="42.0" customHeight="1"/>
    <row r="72" ht="42.0" customHeight="1"/>
    <row r="73" ht="42.0" customHeight="1"/>
    <row r="74" ht="42.0" customHeight="1"/>
    <row r="75" ht="42.0" customHeight="1"/>
    <row r="76" ht="42.0" customHeight="1"/>
    <row r="77" ht="42.0" customHeight="1"/>
    <row r="78" ht="42.0" customHeight="1"/>
    <row r="79" ht="42.0" customHeight="1"/>
    <row r="80" ht="42.0" customHeight="1"/>
    <row r="81" ht="42.0" customHeight="1"/>
    <row r="82" ht="42.0" customHeight="1"/>
    <row r="83" ht="42.0" customHeight="1"/>
    <row r="84" ht="42.0" customHeight="1"/>
    <row r="85" ht="42.0" customHeight="1"/>
    <row r="86" ht="42.0" customHeight="1"/>
    <row r="87" ht="42.0" customHeight="1"/>
    <row r="88" ht="42.0" customHeight="1"/>
    <row r="89" ht="42.0" customHeight="1"/>
    <row r="90" ht="42.0" customHeight="1"/>
    <row r="91" ht="42.0" customHeight="1"/>
    <row r="92" ht="42.0" customHeight="1"/>
    <row r="93" ht="42.0" customHeight="1"/>
    <row r="94" ht="42.0" customHeight="1"/>
    <row r="95" ht="42.0" customHeight="1"/>
    <row r="96" ht="42.0" customHeight="1"/>
    <row r="97" ht="42.0" customHeight="1"/>
    <row r="98" ht="42.0" customHeight="1"/>
    <row r="99" ht="42.0" customHeight="1"/>
    <row r="100" ht="42.0" customHeight="1"/>
    <row r="101" ht="42.0" customHeight="1"/>
    <row r="102" ht="42.0" customHeight="1"/>
    <row r="103" ht="42.0" customHeight="1"/>
    <row r="104" ht="42.0" customHeight="1"/>
    <row r="105" ht="42.0" customHeight="1"/>
    <row r="106" ht="42.0" customHeight="1"/>
    <row r="107" ht="42.0" customHeight="1"/>
    <row r="108" ht="42.0" customHeight="1"/>
    <row r="109" ht="42.0" customHeight="1"/>
    <row r="110" ht="42.0" customHeight="1"/>
    <row r="111" ht="42.0" customHeight="1"/>
    <row r="112" ht="42.0" customHeight="1"/>
    <row r="113" ht="42.0" customHeight="1"/>
    <row r="114" ht="42.0" customHeight="1"/>
    <row r="115" ht="42.0" customHeight="1"/>
    <row r="116" ht="42.0" customHeight="1"/>
    <row r="117" ht="42.0" customHeight="1"/>
    <row r="118" ht="42.0" customHeight="1"/>
    <row r="119" ht="42.0" customHeight="1"/>
    <row r="120" ht="42.0" customHeight="1"/>
    <row r="121" ht="42.0" customHeight="1"/>
    <row r="122" ht="42.0" customHeight="1"/>
    <row r="123" ht="42.0" customHeight="1"/>
    <row r="124" ht="42.0" customHeight="1"/>
    <row r="125" ht="42.0" customHeight="1">
      <c r="A125" s="63"/>
    </row>
    <row r="126" ht="42.0" customHeight="1">
      <c r="A126" s="63"/>
    </row>
    <row r="127" ht="42.0" customHeight="1">
      <c r="A127" s="63"/>
    </row>
    <row r="128" ht="42.0" customHeight="1">
      <c r="A128" s="63"/>
    </row>
    <row r="129" ht="42.0" customHeight="1">
      <c r="A129" s="63"/>
    </row>
    <row r="130" ht="42.0" customHeight="1">
      <c r="A130" s="63"/>
    </row>
    <row r="131" ht="42.0" customHeight="1">
      <c r="A131" s="63"/>
    </row>
    <row r="132" ht="42.0" customHeight="1">
      <c r="A132" s="63"/>
    </row>
    <row r="133" ht="42.0" customHeight="1">
      <c r="A133" s="63"/>
    </row>
    <row r="134" ht="42.0" customHeight="1">
      <c r="A134" s="63"/>
    </row>
    <row r="135" ht="42.0" customHeight="1">
      <c r="A135" s="63"/>
    </row>
    <row r="136" ht="42.0" customHeight="1">
      <c r="A136" s="63"/>
    </row>
    <row r="137" ht="42.0" customHeight="1">
      <c r="A137" s="63"/>
    </row>
    <row r="138" ht="42.0" customHeight="1">
      <c r="A138" s="63"/>
    </row>
    <row r="139" ht="42.0" customHeight="1">
      <c r="A139" s="63"/>
    </row>
    <row r="140" ht="42.0" customHeight="1">
      <c r="A140" s="63"/>
    </row>
    <row r="141" ht="42.0" customHeight="1">
      <c r="A141" s="63"/>
    </row>
    <row r="142" ht="42.0" customHeight="1">
      <c r="A142" s="63"/>
    </row>
    <row r="143" ht="42.0" customHeight="1">
      <c r="A143" s="63"/>
    </row>
    <row r="144" ht="42.0" customHeight="1">
      <c r="A144" s="63"/>
    </row>
    <row r="145" ht="42.0" customHeight="1">
      <c r="A145" s="63"/>
    </row>
    <row r="146" ht="42.0" customHeight="1">
      <c r="A146" s="63"/>
    </row>
    <row r="147" ht="42.0" customHeight="1">
      <c r="A147" s="63"/>
    </row>
    <row r="148" ht="42.0" customHeight="1">
      <c r="A148" s="63"/>
    </row>
    <row r="149" ht="42.0" customHeight="1">
      <c r="A149" s="63"/>
    </row>
    <row r="150" ht="42.0" customHeight="1">
      <c r="A150" s="63"/>
    </row>
    <row r="151" ht="42.0" customHeight="1">
      <c r="A151" s="63"/>
    </row>
    <row r="152" ht="42.0" customHeight="1">
      <c r="A152" s="63"/>
    </row>
    <row r="153" ht="42.0" customHeight="1">
      <c r="A153" s="63"/>
    </row>
    <row r="154" ht="42.0" customHeight="1">
      <c r="A154" s="63"/>
    </row>
    <row r="155" ht="42.0" customHeight="1">
      <c r="A155" s="63"/>
    </row>
    <row r="156" ht="42.0" customHeight="1">
      <c r="A156" s="63"/>
    </row>
    <row r="157" ht="42.0" customHeight="1">
      <c r="A157" s="63"/>
    </row>
    <row r="158" ht="42.0" customHeight="1">
      <c r="A158" s="63"/>
    </row>
    <row r="159" ht="42.0" customHeight="1">
      <c r="A159" s="63"/>
    </row>
    <row r="160" ht="42.0" customHeight="1">
      <c r="A160" s="63"/>
    </row>
    <row r="161" ht="42.0" customHeight="1">
      <c r="A161" s="63"/>
    </row>
    <row r="162" ht="42.0" customHeight="1">
      <c r="A162" s="63"/>
    </row>
    <row r="163" ht="42.0" customHeight="1">
      <c r="A163" s="63"/>
    </row>
    <row r="164" ht="42.0" customHeight="1">
      <c r="A164" s="63"/>
    </row>
    <row r="165" ht="42.0" customHeight="1">
      <c r="A165" s="63"/>
    </row>
    <row r="166" ht="42.0" customHeight="1">
      <c r="A166" s="63"/>
    </row>
    <row r="167" ht="42.0" customHeight="1">
      <c r="A167" s="63"/>
    </row>
    <row r="168" ht="42.0" customHeight="1">
      <c r="A168" s="63"/>
    </row>
    <row r="169" ht="42.0" customHeight="1">
      <c r="A169" s="63"/>
    </row>
    <row r="170" ht="42.0" customHeight="1">
      <c r="A170" s="63"/>
    </row>
    <row r="171" ht="42.0" customHeight="1">
      <c r="A171" s="63"/>
    </row>
    <row r="172" ht="42.0" customHeight="1">
      <c r="A172" s="63"/>
    </row>
    <row r="173" ht="42.0" customHeight="1">
      <c r="A173" s="63"/>
    </row>
    <row r="174" ht="42.0" customHeight="1">
      <c r="A174" s="63"/>
    </row>
    <row r="175" ht="42.0" customHeight="1">
      <c r="A175" s="63"/>
    </row>
    <row r="176" ht="42.0" customHeight="1">
      <c r="A176" s="63"/>
    </row>
    <row r="177" ht="42.0" customHeight="1">
      <c r="A177" s="63"/>
    </row>
    <row r="178" ht="42.0" customHeight="1">
      <c r="A178" s="63"/>
    </row>
    <row r="179" ht="42.0" customHeight="1">
      <c r="A179" s="63"/>
    </row>
    <row r="180" ht="42.0" customHeight="1">
      <c r="A180" s="63"/>
    </row>
    <row r="181" ht="42.0" customHeight="1">
      <c r="A181" s="63"/>
    </row>
    <row r="182" ht="42.0" customHeight="1">
      <c r="A182" s="63"/>
    </row>
    <row r="183" ht="42.0" customHeight="1">
      <c r="A183" s="63"/>
    </row>
    <row r="184" ht="42.0" customHeight="1">
      <c r="A184" s="63"/>
    </row>
    <row r="185" ht="42.0" customHeight="1">
      <c r="A185" s="63"/>
    </row>
    <row r="186" ht="42.0" customHeight="1">
      <c r="A186" s="63"/>
    </row>
    <row r="187" ht="42.0" customHeight="1">
      <c r="A187" s="63"/>
    </row>
    <row r="188" ht="42.0" customHeight="1">
      <c r="A188" s="63"/>
    </row>
    <row r="189" ht="42.0" customHeight="1">
      <c r="A189" s="63"/>
    </row>
    <row r="190" ht="42.0" customHeight="1">
      <c r="A190" s="63"/>
    </row>
    <row r="191" ht="42.0" customHeight="1">
      <c r="A191" s="63"/>
    </row>
    <row r="192" ht="42.0" customHeight="1">
      <c r="A192" s="63"/>
    </row>
    <row r="193" ht="42.0" customHeight="1">
      <c r="A193" s="63"/>
    </row>
    <row r="194" ht="42.0" customHeight="1">
      <c r="A194" s="63"/>
    </row>
    <row r="195" ht="42.0" customHeight="1">
      <c r="A195" s="63"/>
    </row>
    <row r="196" ht="42.0" customHeight="1">
      <c r="A196" s="63"/>
    </row>
    <row r="197" ht="42.0" customHeight="1">
      <c r="A197" s="63"/>
    </row>
    <row r="198" ht="42.0" customHeight="1">
      <c r="A198" s="63"/>
    </row>
    <row r="199" ht="42.0" customHeight="1">
      <c r="A199" s="63"/>
    </row>
    <row r="200" ht="42.0" customHeight="1">
      <c r="A200" s="63"/>
    </row>
    <row r="201" ht="42.0" customHeight="1">
      <c r="A201" s="63"/>
    </row>
    <row r="202" ht="42.0" customHeight="1">
      <c r="A202" s="63"/>
    </row>
    <row r="203" ht="42.0" customHeight="1">
      <c r="A203" s="63"/>
    </row>
    <row r="204" ht="42.0" customHeight="1">
      <c r="A204" s="63"/>
    </row>
    <row r="205" ht="42.0" customHeight="1">
      <c r="A205" s="63"/>
    </row>
    <row r="206" ht="42.0" customHeight="1">
      <c r="A206" s="63"/>
    </row>
    <row r="207" ht="42.0" customHeight="1">
      <c r="A207" s="63"/>
    </row>
    <row r="208" ht="42.0" customHeight="1">
      <c r="A208" s="63"/>
    </row>
    <row r="209" ht="15.75" customHeight="1">
      <c r="A209" s="63"/>
    </row>
    <row r="210" ht="15.75" customHeight="1">
      <c r="A210" s="63"/>
    </row>
    <row r="211" ht="15.75" customHeight="1">
      <c r="A211" s="63"/>
    </row>
    <row r="212" ht="15.75" customHeight="1">
      <c r="A212" s="63"/>
    </row>
    <row r="213" ht="15.75" customHeight="1">
      <c r="A213" s="63"/>
    </row>
    <row r="214" ht="15.75" customHeight="1">
      <c r="A214" s="63"/>
    </row>
    <row r="215" ht="15.75" customHeight="1">
      <c r="A215" s="63"/>
    </row>
    <row r="216" ht="15.75" customHeight="1">
      <c r="A216" s="63"/>
    </row>
    <row r="217" ht="15.75" customHeight="1">
      <c r="A217" s="63"/>
    </row>
    <row r="218" ht="15.75" customHeight="1">
      <c r="A218" s="63"/>
    </row>
    <row r="219" ht="15.75" customHeight="1">
      <c r="A219" s="63"/>
    </row>
    <row r="220" ht="15.75" customHeight="1">
      <c r="A220" s="63"/>
    </row>
    <row r="221" ht="15.75" customHeight="1">
      <c r="A221" s="63"/>
    </row>
    <row r="222" ht="15.75" customHeight="1">
      <c r="A222" s="63"/>
    </row>
    <row r="223" ht="15.75" customHeight="1">
      <c r="A223" s="63"/>
    </row>
    <row r="224" ht="15.75" customHeight="1">
      <c r="A224" s="63"/>
    </row>
    <row r="225" ht="15.75" customHeight="1">
      <c r="A225" s="63"/>
    </row>
    <row r="226" ht="15.75" customHeight="1">
      <c r="A226" s="63"/>
    </row>
    <row r="227" ht="15.75" customHeight="1">
      <c r="A227" s="6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0"/>
    <col customWidth="1" min="2" max="2" width="30.13"/>
    <col customWidth="1" min="3" max="6" width="12.63"/>
  </cols>
  <sheetData>
    <row r="1" ht="15.75" customHeight="1">
      <c r="A1" s="64" t="s">
        <v>159</v>
      </c>
      <c r="B1" s="64" t="s">
        <v>166</v>
      </c>
    </row>
    <row r="2" ht="15.75" customHeight="1">
      <c r="A2" s="61" t="s">
        <v>94</v>
      </c>
      <c r="B2" s="65">
        <f t="array" ref="B2">XLOOKUP(A2,'Exported Data'!A:A,'Exported Data'!B:B,0)</f>
        <v>57</v>
      </c>
    </row>
    <row r="3" ht="15.75" customHeight="1">
      <c r="A3" s="61" t="s">
        <v>96</v>
      </c>
      <c r="B3" s="65">
        <f t="array" ref="B3">XLOOKUP(A3,'Exported Data'!A:A,'Exported Data'!B:B,0)</f>
        <v>32</v>
      </c>
    </row>
    <row r="4" ht="15.75" customHeight="1">
      <c r="A4" s="61" t="s">
        <v>98</v>
      </c>
      <c r="B4" s="65">
        <f t="array" ref="B4">XLOOKUP(A4,'Exported Data'!A:A,'Exported Data'!B:B,0)</f>
        <v>81</v>
      </c>
    </row>
    <row r="5" ht="15.75" customHeight="1">
      <c r="A5" s="61" t="s">
        <v>100</v>
      </c>
      <c r="B5" s="65">
        <f t="array" ref="B5">XLOOKUP(A5,'Exported Data'!A:A,'Exported Data'!B:B,0)</f>
        <v>65</v>
      </c>
    </row>
    <row r="6" ht="15.75" customHeight="1">
      <c r="A6" s="61" t="s">
        <v>102</v>
      </c>
      <c r="B6" s="65">
        <f t="array" ref="B6">XLOOKUP(A6,'Exported Data'!A:A,'Exported Data'!B:B,0)</f>
        <v>70</v>
      </c>
    </row>
    <row r="7" ht="15.75" customHeight="1">
      <c r="A7" s="61" t="s">
        <v>104</v>
      </c>
      <c r="B7" s="65">
        <f t="array" ref="B7">XLOOKUP(A7,'Exported Data'!A:A,'Exported Data'!B:B,0)</f>
        <v>33</v>
      </c>
    </row>
    <row r="8" ht="15.75" customHeight="1">
      <c r="A8" s="61" t="s">
        <v>106</v>
      </c>
      <c r="B8" s="65">
        <f t="array" ref="B8">XLOOKUP(A8,'Exported Data'!A:A,'Exported Data'!B:B,0)</f>
        <v>11</v>
      </c>
    </row>
    <row r="9" ht="15.75" customHeight="1">
      <c r="A9" s="61" t="s">
        <v>160</v>
      </c>
      <c r="B9" s="65">
        <f t="array" ref="B9">XLOOKUP(A9,'Exported Data'!A:A,'Exported Data'!B:B,0)</f>
        <v>0</v>
      </c>
    </row>
    <row r="10" ht="15.75" customHeight="1">
      <c r="A10" s="61" t="s">
        <v>4</v>
      </c>
      <c r="B10" s="65">
        <f t="array" ref="B10">XLOOKUP(A10,'Exported Data'!A:A,'Exported Data'!B:B,0)</f>
        <v>58</v>
      </c>
    </row>
    <row r="11" ht="15.75" customHeight="1">
      <c r="A11" s="61" t="s">
        <v>109</v>
      </c>
      <c r="B11" s="65">
        <f t="array" ref="B11">XLOOKUP(A11,'Exported Data'!A:A,'Exported Data'!B:B,0)</f>
        <v>79</v>
      </c>
    </row>
    <row r="12" ht="15.75" customHeight="1">
      <c r="A12" s="61" t="s">
        <v>111</v>
      </c>
      <c r="B12" s="65">
        <f t="array" ref="B12">XLOOKUP(A12,'Exported Data'!A:A,'Exported Data'!B:B,0)</f>
        <v>45</v>
      </c>
    </row>
    <row r="13" ht="15.75" customHeight="1">
      <c r="A13" s="61" t="s">
        <v>113</v>
      </c>
      <c r="B13" s="65">
        <f t="array" ref="B13">XLOOKUP(A13,'Exported Data'!A:A,'Exported Data'!B:B,0)</f>
        <v>20</v>
      </c>
    </row>
    <row r="14" ht="15.75" customHeight="1">
      <c r="A14" s="61" t="s">
        <v>161</v>
      </c>
      <c r="B14" s="65">
        <f t="array" ref="B14">XLOOKUP(A14,'Exported Data'!A:A,'Exported Data'!B:B,0)</f>
        <v>0</v>
      </c>
    </row>
    <row r="15" ht="15.75" customHeight="1">
      <c r="A15" s="61" t="s">
        <v>117</v>
      </c>
      <c r="B15" s="65">
        <f t="array" ref="B15">XLOOKUP(A15,'Exported Data'!A:A,'Exported Data'!B:B,0)</f>
        <v>30</v>
      </c>
    </row>
    <row r="16" ht="15.75" customHeight="1">
      <c r="A16" s="61" t="s">
        <v>162</v>
      </c>
      <c r="B16" s="65">
        <f t="array" ref="B16">XLOOKUP(A16,'Exported Data'!A:A,'Exported Data'!B:B,0)</f>
        <v>52</v>
      </c>
    </row>
    <row r="17" ht="15.75" customHeight="1">
      <c r="A17" s="61" t="s">
        <v>163</v>
      </c>
      <c r="B17" s="65">
        <f t="array" ref="B17">XLOOKUP(A17,'Exported Data'!A:A,'Exported Data'!B:B,0)</f>
        <v>30</v>
      </c>
    </row>
    <row r="18" ht="15.75" customHeight="1">
      <c r="A18" s="61" t="s">
        <v>16</v>
      </c>
      <c r="B18" s="65">
        <f t="array" ref="B18">XLOOKUP(A18,'Exported Data'!A:A,'Exported Data'!B:B,0)</f>
        <v>28</v>
      </c>
    </row>
    <row r="19" ht="15.75" customHeight="1">
      <c r="A19" s="61" t="s">
        <v>24</v>
      </c>
      <c r="B19" s="65">
        <f t="array" ref="B19">XLOOKUP(A19,'Exported Data'!A:A,'Exported Data'!B:B,0)</f>
        <v>72</v>
      </c>
    </row>
    <row r="20" ht="15.75" customHeight="1">
      <c r="A20" s="61" t="s">
        <v>65</v>
      </c>
      <c r="B20" s="65">
        <f t="array" ref="B20">XLOOKUP(A20,'Exported Data'!A:A,'Exported Data'!B:B,0)</f>
        <v>55</v>
      </c>
    </row>
    <row r="21" ht="15.75" customHeight="1">
      <c r="A21" s="61" t="s">
        <v>73</v>
      </c>
      <c r="B21" s="65">
        <f t="array" ref="B21">XLOOKUP(A21,'Exported Data'!A:A,'Exported Data'!B:B,0)</f>
        <v>26</v>
      </c>
    </row>
    <row r="22" ht="15.75" customHeight="1">
      <c r="A22" s="61" t="s">
        <v>57</v>
      </c>
      <c r="B22" s="65">
        <f t="array" ref="B22">XLOOKUP(A22,'Exported Data'!A:A,'Exported Data'!B:B,0)</f>
        <v>70</v>
      </c>
    </row>
    <row r="23" ht="15.75" customHeight="1">
      <c r="A23" s="61" t="s">
        <v>69</v>
      </c>
      <c r="B23" s="65">
        <f t="array" ref="B23">XLOOKUP(A23,'Exported Data'!A:A,'Exported Data'!B:B,0)</f>
        <v>44</v>
      </c>
    </row>
    <row r="24" ht="15.75" customHeight="1">
      <c r="A24" s="61" t="s">
        <v>30</v>
      </c>
      <c r="B24" s="65">
        <f t="array" ref="B24">XLOOKUP(A24,'Exported Data'!A:A,'Exported Data'!B:B,0)</f>
        <v>21</v>
      </c>
    </row>
    <row r="25" ht="15.75" customHeight="1">
      <c r="A25" s="61" t="s">
        <v>52</v>
      </c>
      <c r="B25" s="65">
        <f t="array" ref="B25">XLOOKUP(A25,'Exported Data'!A:A,'Exported Data'!B:B,0)</f>
        <v>39</v>
      </c>
    </row>
    <row r="26" ht="15.75" customHeight="1">
      <c r="A26" s="61" t="s">
        <v>41</v>
      </c>
      <c r="B26" s="65">
        <f t="array" ref="B26">XLOOKUP(A26,'Exported Data'!A:A,'Exported Data'!B:B,0)</f>
        <v>52</v>
      </c>
    </row>
    <row r="27" ht="15.75" customHeight="1">
      <c r="A27" s="61" t="s">
        <v>46</v>
      </c>
      <c r="B27" s="65">
        <f t="array" ref="B27">XLOOKUP(A27,'Exported Data'!A:A,'Exported Data'!B:B,0)</f>
        <v>33</v>
      </c>
    </row>
    <row r="28" ht="15.75" customHeight="1">
      <c r="A28" s="61" t="s">
        <v>61</v>
      </c>
      <c r="B28" s="65">
        <f t="array" ref="B28">XLOOKUP(A28,'Exported Data'!A:A,'Exported Data'!B:B,0)</f>
        <v>69</v>
      </c>
    </row>
    <row r="29" ht="15.75" customHeight="1">
      <c r="A29" s="61" t="s">
        <v>79</v>
      </c>
      <c r="B29" s="65">
        <f t="array" ref="B29">XLOOKUP(A29,'Exported Data'!A:A,'Exported Data'!B:B,0)</f>
        <v>21</v>
      </c>
    </row>
    <row r="30" ht="15.75" customHeight="1">
      <c r="A30" s="61" t="s">
        <v>12</v>
      </c>
      <c r="B30" s="65">
        <f t="array" ref="B30">XLOOKUP(A30,'Exported Data'!A:A,'Exported Data'!B:B,0)</f>
        <v>34</v>
      </c>
    </row>
    <row r="31" ht="15.75" customHeight="1">
      <c r="A31" s="61" t="s">
        <v>62</v>
      </c>
      <c r="B31" s="65">
        <f t="array" ref="B31">XLOOKUP(A31,'Exported Data'!A:A,'Exported Data'!B:B,0)</f>
        <v>24</v>
      </c>
    </row>
    <row r="32" ht="15.75" customHeight="1">
      <c r="A32" s="61" t="s">
        <v>74</v>
      </c>
      <c r="B32" s="65">
        <f t="array" ref="B32">XLOOKUP(A32,'Exported Data'!A:A,'Exported Data'!B:B,0)</f>
        <v>27</v>
      </c>
    </row>
    <row r="33" ht="15.75" customHeight="1">
      <c r="A33" s="61" t="s">
        <v>123</v>
      </c>
      <c r="B33" s="65">
        <f t="array" ref="B33">XLOOKUP(A33,'Exported Data'!A:A,'Exported Data'!B:B,0)</f>
        <v>81</v>
      </c>
    </row>
    <row r="34" ht="15.75" customHeight="1">
      <c r="A34" s="61" t="s">
        <v>53</v>
      </c>
      <c r="B34" s="65">
        <f t="array" ref="B34">XLOOKUP(A34,'Exported Data'!A:A,'Exported Data'!B:B,0)</f>
        <v>20</v>
      </c>
    </row>
    <row r="35" ht="15.75" customHeight="1">
      <c r="A35" s="61" t="s">
        <v>31</v>
      </c>
      <c r="B35" s="65">
        <f t="array" ref="B35">XLOOKUP(A35,'Exported Data'!A:A,'Exported Data'!B:B,0)</f>
        <v>38</v>
      </c>
    </row>
    <row r="36" ht="15.75" customHeight="1">
      <c r="A36" s="61" t="s">
        <v>70</v>
      </c>
      <c r="B36" s="65">
        <f t="array" ref="B36">XLOOKUP(A36,'Exported Data'!A:A,'Exported Data'!B:B,0)</f>
        <v>28</v>
      </c>
    </row>
    <row r="37" ht="15.75" customHeight="1">
      <c r="A37" s="61" t="s">
        <v>17</v>
      </c>
      <c r="B37" s="65">
        <f t="array" ref="B37">XLOOKUP(A37,'Exported Data'!A:A,'Exported Data'!B:B,0)</f>
        <v>4</v>
      </c>
    </row>
    <row r="38" ht="15.75" customHeight="1">
      <c r="A38" s="61" t="s">
        <v>13</v>
      </c>
      <c r="B38" s="65">
        <f t="array" ref="B38">XLOOKUP(A38,'Exported Data'!A:A,'Exported Data'!B:B,0)</f>
        <v>26</v>
      </c>
    </row>
    <row r="39" ht="15.75" customHeight="1">
      <c r="A39" s="61" t="s">
        <v>66</v>
      </c>
      <c r="B39" s="65">
        <f t="array" ref="B39">XLOOKUP(A39,'Exported Data'!A:A,'Exported Data'!B:B,0)</f>
        <v>21</v>
      </c>
    </row>
    <row r="40" ht="15.75" customHeight="1">
      <c r="A40" s="61" t="s">
        <v>47</v>
      </c>
      <c r="B40" s="65">
        <f t="array" ref="B40">XLOOKUP(A40,'Exported Data'!A:A,'Exported Data'!B:B,0)</f>
        <v>17</v>
      </c>
    </row>
    <row r="41" ht="15.75" customHeight="1">
      <c r="A41" s="61" t="s">
        <v>58</v>
      </c>
      <c r="B41" s="65">
        <f t="array" ref="B41">XLOOKUP(A41,'Exported Data'!A:A,'Exported Data'!B:B,0)</f>
        <v>28</v>
      </c>
    </row>
    <row r="42" ht="15.75" customHeight="1">
      <c r="A42" s="61" t="s">
        <v>42</v>
      </c>
      <c r="B42" s="65">
        <f t="array" ref="B42">XLOOKUP(A42,'Exported Data'!A:A,'Exported Data'!B:B,0)</f>
        <v>42</v>
      </c>
    </row>
    <row r="43" ht="15.75" customHeight="1">
      <c r="A43" s="61" t="s">
        <v>25</v>
      </c>
      <c r="B43" s="65">
        <f t="array" ref="B43">XLOOKUP(A43,'Exported Data'!A:A,'Exported Data'!B:B,0)</f>
        <v>26</v>
      </c>
    </row>
    <row r="44" ht="15.75" customHeight="1">
      <c r="A44" s="61" t="s">
        <v>37</v>
      </c>
      <c r="B44" s="65">
        <f t="array" ref="B44">XLOOKUP(A44,'Exported Data'!A:A,'Exported Data'!B:B,0)</f>
        <v>15</v>
      </c>
    </row>
    <row r="45" ht="15.75" customHeight="1">
      <c r="A45" s="61" t="s">
        <v>59</v>
      </c>
      <c r="B45" s="65">
        <f t="array" ref="B45">XLOOKUP(A45,'Exported Data'!A:A,'Exported Data'!B:B,0)</f>
        <v>3</v>
      </c>
    </row>
    <row r="46" ht="15.75" customHeight="1">
      <c r="A46" s="61" t="s">
        <v>148</v>
      </c>
      <c r="B46" s="65">
        <f t="array" ref="B46">XLOOKUP(A46,'Exported Data'!A:A,'Exported Data'!B:B,0)</f>
        <v>0</v>
      </c>
    </row>
    <row r="47" ht="15.75" customHeight="1">
      <c r="A47" s="61" t="s">
        <v>38</v>
      </c>
      <c r="B47" s="65">
        <f t="array" ref="B47">XLOOKUP(A47,'Exported Data'!A:A,'Exported Data'!B:B,0)</f>
        <v>0</v>
      </c>
    </row>
    <row r="48" ht="15.75" customHeight="1">
      <c r="A48" s="61" t="s">
        <v>167</v>
      </c>
      <c r="B48" s="65">
        <f t="array" ref="B48">XLOOKUP(A48,'Exported Data'!A:A,'Exported Data'!B:B,0)</f>
        <v>0</v>
      </c>
    </row>
    <row r="49" ht="15.75" customHeight="1">
      <c r="A49" s="61" t="s">
        <v>152</v>
      </c>
      <c r="B49" s="65">
        <f t="array" ref="B49">XLOOKUP(A49,'Exported Data'!A:A,'Exported Data'!B:B,0)</f>
        <v>0</v>
      </c>
    </row>
    <row r="50" ht="15.75" customHeight="1">
      <c r="A50" s="61" t="s">
        <v>48</v>
      </c>
      <c r="B50" s="65">
        <f t="array" ref="B50">XLOOKUP(A50,'Exported Data'!A:A,'Exported Data'!B:B,0)</f>
        <v>6</v>
      </c>
    </row>
    <row r="51" ht="15.75" customHeight="1">
      <c r="A51" s="61" t="s">
        <v>71</v>
      </c>
      <c r="B51" s="65">
        <f t="array" ref="B51">XLOOKUP(A51,'Exported Data'!A:A,'Exported Data'!B:B,0)</f>
        <v>4</v>
      </c>
    </row>
    <row r="52" ht="15.75" customHeight="1">
      <c r="A52" s="61" t="s">
        <v>14</v>
      </c>
      <c r="B52" s="65">
        <f t="array" ref="B52">XLOOKUP(A52,'Exported Data'!A:A,'Exported Data'!B:B,0)</f>
        <v>3</v>
      </c>
    </row>
    <row r="53" ht="15.75" customHeight="1">
      <c r="A53" s="61" t="s">
        <v>18</v>
      </c>
      <c r="B53" s="65">
        <f t="array" ref="B53">XLOOKUP(A53,'Exported Data'!A:A,'Exported Data'!B:B,0)</f>
        <v>6</v>
      </c>
    </row>
    <row r="54" ht="15.75" customHeight="1">
      <c r="A54" s="61" t="s">
        <v>168</v>
      </c>
      <c r="B54" s="65">
        <f t="array" ref="B54">XLOOKUP(A54,'Exported Data'!A:A,'Exported Data'!B:B,0)</f>
        <v>0</v>
      </c>
    </row>
    <row r="55" ht="15.75" customHeight="1">
      <c r="A55" s="61" t="s">
        <v>43</v>
      </c>
      <c r="B55" s="65">
        <f t="array" ref="B55">XLOOKUP(A55,'Exported Data'!A:A,'Exported Data'!B:B,0)</f>
        <v>1</v>
      </c>
    </row>
    <row r="56" ht="15.75" customHeight="1">
      <c r="A56" s="61" t="s">
        <v>67</v>
      </c>
      <c r="B56" s="65">
        <f t="array" ref="B56">XLOOKUP(A56,'Exported Data'!A:A,'Exported Data'!B:B,0)</f>
        <v>5</v>
      </c>
    </row>
    <row r="57" ht="15.75" customHeight="1">
      <c r="A57" s="61" t="s">
        <v>26</v>
      </c>
      <c r="B57" s="65">
        <f t="array" ref="B57">XLOOKUP(A57,'Exported Data'!A:A,'Exported Data'!B:B,0)</f>
        <v>10</v>
      </c>
    </row>
    <row r="58" ht="15.75" customHeight="1">
      <c r="A58" s="61" t="s">
        <v>36</v>
      </c>
      <c r="B58" s="65">
        <f t="array" ref="B58">XLOOKUP(A58,'Exported Data'!A:A,'Exported Data'!B:B,0)</f>
        <v>75</v>
      </c>
    </row>
    <row r="59" ht="15.75" customHeight="1">
      <c r="A59" s="61" t="s">
        <v>63</v>
      </c>
      <c r="B59" s="65">
        <f t="array" ref="B59">XLOOKUP(A59,'Exported Data'!A:A,'Exported Data'!B:B,0)</f>
        <v>12</v>
      </c>
    </row>
    <row r="60" ht="15.75" customHeight="1">
      <c r="A60" s="61" t="s">
        <v>125</v>
      </c>
      <c r="B60" s="65">
        <f t="array" ref="B60">XLOOKUP(A60,'Exported Data'!A:A,'Exported Data'!B:B,0)</f>
        <v>0</v>
      </c>
    </row>
    <row r="61" ht="15.75" customHeight="1">
      <c r="A61" s="61" t="s">
        <v>126</v>
      </c>
      <c r="B61" s="65">
        <f t="array" ref="B61">XLOOKUP(A61,'Exported Data'!A:A,'Exported Data'!B:B,0)</f>
        <v>0</v>
      </c>
    </row>
    <row r="62" ht="15.75" customHeight="1">
      <c r="A62" s="61" t="s">
        <v>127</v>
      </c>
      <c r="B62" s="65">
        <f t="array" ref="B62">XLOOKUP(A62,'Exported Data'!A:A,'Exported Data'!B:B,0)</f>
        <v>0</v>
      </c>
    </row>
    <row r="63" ht="15.75" customHeight="1">
      <c r="A63" s="61" t="s">
        <v>128</v>
      </c>
      <c r="B63" s="65">
        <f t="array" ref="B63">XLOOKUP(A63,'Exported Data'!A:A,'Exported Data'!B:B,0)</f>
        <v>0</v>
      </c>
    </row>
    <row r="64" ht="15.75" customHeight="1">
      <c r="A64" s="61" t="s">
        <v>129</v>
      </c>
      <c r="B64" s="65">
        <f t="array" ref="B64">XLOOKUP(A64,'Exported Data'!A:A,'Exported Data'!B:B,0)</f>
        <v>0</v>
      </c>
    </row>
    <row r="65" ht="15.75" customHeight="1">
      <c r="A65" s="61" t="s">
        <v>130</v>
      </c>
      <c r="B65" s="65">
        <f t="array" ref="B65">XLOOKUP(A65,'Exported Data'!A:A,'Exported Data'!B:B,0)</f>
        <v>0</v>
      </c>
    </row>
    <row r="66" ht="15.75" customHeight="1">
      <c r="A66" s="61" t="s">
        <v>95</v>
      </c>
      <c r="B66" s="65">
        <f t="array" ref="B66">XLOOKUP(A66,'Exported Data'!A:A,'Exported Data'!B:B,0)</f>
        <v>0</v>
      </c>
    </row>
    <row r="67" ht="15.75" customHeight="1">
      <c r="A67" s="61" t="s">
        <v>97</v>
      </c>
      <c r="B67" s="65">
        <f t="array" ref="B67">XLOOKUP(A67,'Exported Data'!A:A,'Exported Data'!B:B,0)</f>
        <v>0</v>
      </c>
    </row>
    <row r="68" ht="15.75" customHeight="1">
      <c r="A68" s="61" t="s">
        <v>99</v>
      </c>
      <c r="B68" s="65">
        <f t="array" ref="B68">XLOOKUP(A68,'Exported Data'!A:A,'Exported Data'!B:B,0)</f>
        <v>0</v>
      </c>
    </row>
    <row r="69" ht="15.75" customHeight="1">
      <c r="A69" s="61" t="s">
        <v>101</v>
      </c>
      <c r="B69" s="65">
        <f t="array" ref="B69">XLOOKUP(A69,'Exported Data'!A:A,'Exported Data'!B:B,0)</f>
        <v>0</v>
      </c>
    </row>
    <row r="70" ht="15.75" customHeight="1">
      <c r="A70" s="61" t="s">
        <v>103</v>
      </c>
      <c r="B70" s="65">
        <f t="array" ref="B70">XLOOKUP(A70,'Exported Data'!A:A,'Exported Data'!B:B,0)</f>
        <v>0</v>
      </c>
    </row>
    <row r="71" ht="15.75" customHeight="1">
      <c r="A71" s="61" t="s">
        <v>105</v>
      </c>
      <c r="B71" s="65">
        <f t="array" ref="B71">XLOOKUP(A71,'Exported Data'!A:A,'Exported Data'!B:B,0)</f>
        <v>0</v>
      </c>
    </row>
    <row r="72" ht="15.75" customHeight="1">
      <c r="A72" s="61" t="s">
        <v>107</v>
      </c>
      <c r="B72" s="65">
        <f t="array" ref="B72">XLOOKUP(A72,'Exported Data'!A:A,'Exported Data'!B:B,0)</f>
        <v>0</v>
      </c>
    </row>
    <row r="73" ht="15.75" customHeight="1">
      <c r="A73" s="61" t="s">
        <v>108</v>
      </c>
      <c r="B73" s="65">
        <f t="array" ref="B73">XLOOKUP(A73,'Exported Data'!A:A,'Exported Data'!B:B,0)</f>
        <v>0</v>
      </c>
    </row>
    <row r="74" ht="15.75" customHeight="1">
      <c r="A74" s="61" t="s">
        <v>112</v>
      </c>
      <c r="B74" s="65">
        <f t="array" ref="B74">XLOOKUP(A74,'Exported Data'!A:A,'Exported Data'!B:B,0)</f>
        <v>0</v>
      </c>
    </row>
    <row r="75" ht="15.75" customHeight="1">
      <c r="A75" s="61" t="s">
        <v>114</v>
      </c>
      <c r="B75" s="65">
        <f t="array" ref="B75">XLOOKUP(A75,'Exported Data'!A:A,'Exported Data'!B:B,0)</f>
        <v>0</v>
      </c>
    </row>
    <row r="76" ht="15.75" customHeight="1">
      <c r="A76" s="61" t="s">
        <v>116</v>
      </c>
      <c r="B76" s="65">
        <f t="array" ref="B76">XLOOKUP(A76,'Exported Data'!A:A,'Exported Data'!B:B,0)</f>
        <v>0</v>
      </c>
    </row>
    <row r="77" ht="15.75" customHeight="1">
      <c r="A77" s="61" t="s">
        <v>118</v>
      </c>
      <c r="B77" s="65">
        <f t="array" ref="B77">XLOOKUP(A77,'Exported Data'!A:A,'Exported Data'!B:B,0)</f>
        <v>5</v>
      </c>
    </row>
    <row r="78" ht="15.75" customHeight="1">
      <c r="A78" s="61" t="s">
        <v>119</v>
      </c>
      <c r="B78" s="65">
        <f t="array" ref="B78">XLOOKUP(A78,'Exported Data'!A:A,'Exported Data'!B:B,0)</f>
        <v>0</v>
      </c>
    </row>
    <row r="79" ht="15.75" customHeight="1">
      <c r="A79" s="61" t="s">
        <v>120</v>
      </c>
      <c r="B79" s="65">
        <f t="array" ref="B79">XLOOKUP(A79,'Exported Data'!A:A,'Exported Data'!B:B,0)</f>
        <v>0</v>
      </c>
    </row>
    <row r="80" ht="15.75" customHeight="1">
      <c r="A80" s="61" t="s">
        <v>121</v>
      </c>
      <c r="B80" s="65">
        <f t="array" ref="B80">XLOOKUP(A80,'Exported Data'!A:A,'Exported Data'!B:B,0)</f>
        <v>0</v>
      </c>
    </row>
    <row r="81" ht="15.75" customHeight="1">
      <c r="A81" s="61" t="s">
        <v>122</v>
      </c>
      <c r="B81" s="65">
        <f t="array" ref="B81">XLOOKUP(A81,'Exported Data'!A:A,'Exported Data'!B:B,0)</f>
        <v>4</v>
      </c>
    </row>
    <row r="82" ht="15.75" customHeight="1">
      <c r="A82" s="61" t="s">
        <v>124</v>
      </c>
      <c r="B82" s="65">
        <f t="array" ref="B82">XLOOKUP(A82,'Exported Data'!A:A,'Exported Data'!B:B,0)</f>
        <v>0</v>
      </c>
    </row>
    <row r="83" ht="15.75" customHeight="1">
      <c r="A83" s="61" t="s">
        <v>110</v>
      </c>
      <c r="B83" s="65">
        <f t="array" ref="B83">XLOOKUP(A83,'Exported Data'!A:A,'Exported Data'!B:B,0)</f>
        <v>0</v>
      </c>
    </row>
    <row r="84" ht="15.75" customHeight="1">
      <c r="A84" s="61" t="s">
        <v>140</v>
      </c>
      <c r="B84" s="65">
        <f t="array" ref="B84">XLOOKUP(A84,'Exported Data'!A:A,'Exported Data'!B:B,0)</f>
        <v>0</v>
      </c>
    </row>
    <row r="85" ht="15.75" customHeight="1">
      <c r="A85" s="61" t="s">
        <v>141</v>
      </c>
      <c r="B85" s="65">
        <f t="array" ref="B85">XLOOKUP(A85,'Exported Data'!A:A,'Exported Data'!B:B,0)</f>
        <v>5</v>
      </c>
    </row>
    <row r="86" ht="15.75" customHeight="1">
      <c r="A86" s="61" t="s">
        <v>142</v>
      </c>
      <c r="B86" s="65">
        <f t="array" ref="B86">XLOOKUP(A86,'Exported Data'!A:A,'Exported Data'!B:B,0)</f>
        <v>0</v>
      </c>
    </row>
    <row r="87" ht="15.75" customHeight="1">
      <c r="A87" s="61" t="s">
        <v>143</v>
      </c>
      <c r="B87" s="65">
        <f t="array" ref="B87">XLOOKUP(A87,'Exported Data'!A:A,'Exported Data'!B:B,0)</f>
        <v>0</v>
      </c>
    </row>
    <row r="88" ht="15.75" customHeight="1">
      <c r="A88" s="61" t="s">
        <v>144</v>
      </c>
      <c r="B88" s="65">
        <f t="array" ref="B88">XLOOKUP(A88,'Exported Data'!A:A,'Exported Data'!B:B,0)</f>
        <v>0</v>
      </c>
    </row>
    <row r="89" ht="15.75" customHeight="1">
      <c r="A89" s="61" t="s">
        <v>145</v>
      </c>
      <c r="B89" s="65">
        <f t="array" ref="B89">XLOOKUP(A89,'Exported Data'!A:A,'Exported Data'!B:B,0)</f>
        <v>0</v>
      </c>
    </row>
    <row r="90" ht="15.75" customHeight="1">
      <c r="A90" s="61" t="s">
        <v>146</v>
      </c>
      <c r="B90" s="65">
        <f t="array" ref="B90">XLOOKUP(A90,'Exported Data'!A:A,'Exported Data'!B:B,0)</f>
        <v>0</v>
      </c>
    </row>
    <row r="91" ht="15.75" customHeight="1">
      <c r="A91" s="61" t="s">
        <v>147</v>
      </c>
      <c r="B91" s="65">
        <f t="array" ref="B91">XLOOKUP(A91,'Exported Data'!A:A,'Exported Data'!B:B,0)</f>
        <v>0</v>
      </c>
    </row>
    <row r="92" ht="15.75" customHeight="1">
      <c r="A92" s="61" t="s">
        <v>149</v>
      </c>
      <c r="B92" s="65">
        <f t="array" ref="B92">XLOOKUP(A92,'Exported Data'!A:A,'Exported Data'!B:B,0)</f>
        <v>0</v>
      </c>
    </row>
    <row r="93" ht="15.75" customHeight="1">
      <c r="A93" s="61" t="s">
        <v>150</v>
      </c>
      <c r="B93" s="65">
        <f t="array" ref="B93">XLOOKUP(A93,'Exported Data'!A:A,'Exported Data'!B:B,0)</f>
        <v>0</v>
      </c>
    </row>
    <row r="94" ht="15.75" customHeight="1">
      <c r="A94" s="61" t="s">
        <v>151</v>
      </c>
      <c r="B94" s="65">
        <f t="array" ref="B94">XLOOKUP(A94,'Exported Data'!A:A,'Exported Data'!B:B,0)</f>
        <v>4</v>
      </c>
    </row>
    <row r="95" ht="15.75" customHeight="1">
      <c r="A95" s="61" t="s">
        <v>153</v>
      </c>
      <c r="B95" s="65">
        <f t="array" ref="B95">XLOOKUP(A95,'Exported Data'!A:A,'Exported Data'!B:B,0)</f>
        <v>5</v>
      </c>
    </row>
    <row r="96" ht="15.75" customHeight="1">
      <c r="A96" s="61" t="s">
        <v>154</v>
      </c>
      <c r="B96" s="65">
        <f t="array" ref="B96">XLOOKUP(A96,'Exported Data'!A:A,'Exported Data'!B:B,0)</f>
        <v>0</v>
      </c>
    </row>
    <row r="97" ht="15.75" customHeight="1">
      <c r="A97" s="61" t="s">
        <v>155</v>
      </c>
      <c r="B97" s="65">
        <f t="array" ref="B97">XLOOKUP(A97,'Exported Data'!A:A,'Exported Data'!B:B,0)</f>
        <v>0</v>
      </c>
    </row>
    <row r="98" ht="15.75" customHeight="1">
      <c r="A98" s="61" t="s">
        <v>156</v>
      </c>
      <c r="B98" s="65">
        <f t="array" ref="B98">XLOOKUP(A98,'Exported Data'!A:A,'Exported Data'!B:B,0)</f>
        <v>0</v>
      </c>
    </row>
    <row r="99" ht="15.75" customHeight="1">
      <c r="A99" s="61" t="s">
        <v>157</v>
      </c>
      <c r="B99" s="65">
        <f t="array" ref="B99">XLOOKUP(A99,'Exported Data'!A:A,'Exported Data'!B:B,0)</f>
        <v>0</v>
      </c>
    </row>
    <row r="100" ht="15.75" customHeight="1">
      <c r="A100" s="61" t="s">
        <v>132</v>
      </c>
      <c r="B100" s="65">
        <f t="array" ref="B100">XLOOKUP(A100,'Exported Data'!A:A,'Exported Data'!B:B,0)</f>
        <v>0</v>
      </c>
    </row>
    <row r="101" ht="15.75" customHeight="1">
      <c r="A101" s="61" t="s">
        <v>133</v>
      </c>
      <c r="B101" s="65">
        <f t="array" ref="B101">XLOOKUP(A101,'Exported Data'!A:A,'Exported Data'!B:B,0)</f>
        <v>0</v>
      </c>
    </row>
    <row r="102" ht="15.75" customHeight="1">
      <c r="A102" s="61" t="s">
        <v>134</v>
      </c>
      <c r="B102" s="65">
        <f t="array" ref="B102">XLOOKUP(A102,'Exported Data'!A:A,'Exported Data'!B:B,0)</f>
        <v>0</v>
      </c>
    </row>
    <row r="103" ht="15.75" customHeight="1">
      <c r="A103" s="61" t="s">
        <v>135</v>
      </c>
      <c r="B103" s="65">
        <f t="array" ref="B103">XLOOKUP(A103,'Exported Data'!A:A,'Exported Data'!B:B,0)</f>
        <v>4</v>
      </c>
    </row>
    <row r="104" ht="15.75" customHeight="1">
      <c r="A104" s="61" t="s">
        <v>136</v>
      </c>
      <c r="B104" s="65">
        <f t="array" ref="B104">XLOOKUP(A104,'Exported Data'!A:A,'Exported Data'!B:B,0)</f>
        <v>0</v>
      </c>
    </row>
    <row r="105" ht="15.75" customHeight="1">
      <c r="A105" s="61" t="s">
        <v>137</v>
      </c>
      <c r="B105" s="65">
        <f t="array" ref="B105">XLOOKUP(A105,'Exported Data'!A:A,'Exported Data'!B:B,0)</f>
        <v>5</v>
      </c>
    </row>
    <row r="106" ht="15.75" customHeight="1">
      <c r="A106" s="61" t="s">
        <v>138</v>
      </c>
      <c r="B106" s="65">
        <f t="array" ref="B106">XLOOKUP(A106,'Exported Data'!A:A,'Exported Data'!B:B,0)</f>
        <v>0</v>
      </c>
    </row>
    <row r="107" ht="15.75" customHeight="1">
      <c r="A107" s="61" t="s">
        <v>139</v>
      </c>
      <c r="B107" s="65">
        <f t="array" ref="B107">XLOOKUP(A107,'Exported Data'!A:A,'Exported Data'!B:B,0)</f>
        <v>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0"/>
    <col customWidth="1" min="2" max="6" width="12.63"/>
  </cols>
  <sheetData>
    <row r="1" ht="15.75" customHeight="1">
      <c r="A1" s="66" t="s">
        <v>159</v>
      </c>
      <c r="B1" s="66" t="s">
        <v>166</v>
      </c>
    </row>
    <row r="2" ht="15.75" customHeight="1">
      <c r="A2" s="67" t="s">
        <v>169</v>
      </c>
      <c r="B2" s="66"/>
    </row>
    <row r="3" ht="15.75" customHeight="1">
      <c r="A3" s="66" t="s">
        <v>11</v>
      </c>
      <c r="B3" s="66">
        <v>12.0</v>
      </c>
    </row>
    <row r="4" ht="15.75" customHeight="1">
      <c r="A4" s="66" t="s">
        <v>15</v>
      </c>
      <c r="B4" s="66">
        <v>11.0</v>
      </c>
    </row>
    <row r="5" ht="15.75" customHeight="1">
      <c r="A5" s="66" t="s">
        <v>23</v>
      </c>
      <c r="B5" s="66">
        <v>1.0</v>
      </c>
    </row>
    <row r="6" ht="15.75" customHeight="1">
      <c r="A6" s="66" t="s">
        <v>29</v>
      </c>
      <c r="B6" s="66">
        <v>2.0</v>
      </c>
    </row>
    <row r="7" ht="15.75" customHeight="1">
      <c r="A7" s="66" t="s">
        <v>35</v>
      </c>
      <c r="B7" s="66">
        <v>21.0</v>
      </c>
    </row>
    <row r="8" ht="15.75" customHeight="1">
      <c r="A8" s="66" t="s">
        <v>40</v>
      </c>
      <c r="B8" s="66">
        <v>1.0</v>
      </c>
    </row>
    <row r="9" ht="15.75" customHeight="1">
      <c r="A9" s="66" t="s">
        <v>45</v>
      </c>
      <c r="B9" s="66">
        <v>10.0</v>
      </c>
    </row>
    <row r="10" ht="15.75" customHeight="1">
      <c r="A10" s="66" t="s">
        <v>51</v>
      </c>
      <c r="B10" s="66">
        <v>3.0</v>
      </c>
    </row>
    <row r="11" ht="15.75" customHeight="1">
      <c r="A11" s="66" t="s">
        <v>56</v>
      </c>
      <c r="B11" s="66">
        <v>3.0</v>
      </c>
    </row>
    <row r="12" ht="15.75" customHeight="1">
      <c r="A12" s="66" t="s">
        <v>60</v>
      </c>
      <c r="B12" s="66">
        <v>13.0</v>
      </c>
    </row>
    <row r="13" ht="15.75" customHeight="1">
      <c r="A13" s="66" t="s">
        <v>64</v>
      </c>
      <c r="B13" s="66">
        <v>33.0</v>
      </c>
    </row>
    <row r="14" ht="15.75" customHeight="1">
      <c r="A14" s="66" t="s">
        <v>68</v>
      </c>
      <c r="B14" s="66">
        <v>23.0</v>
      </c>
    </row>
    <row r="15" ht="15.75" customHeight="1">
      <c r="A15" s="66" t="s">
        <v>72</v>
      </c>
      <c r="B15" s="66">
        <v>22.0</v>
      </c>
    </row>
    <row r="16" ht="15.75" customHeight="1">
      <c r="A16" s="67" t="s">
        <v>170</v>
      </c>
      <c r="B16" s="66"/>
    </row>
    <row r="17" ht="15.75" customHeight="1">
      <c r="A17" s="66" t="s">
        <v>94</v>
      </c>
      <c r="B17" s="66">
        <v>57.0</v>
      </c>
    </row>
    <row r="18" ht="15.75" customHeight="1">
      <c r="A18" s="66" t="s">
        <v>96</v>
      </c>
      <c r="B18" s="66">
        <v>32.0</v>
      </c>
    </row>
    <row r="19" ht="15.75" customHeight="1">
      <c r="A19" s="66" t="s">
        <v>98</v>
      </c>
      <c r="B19" s="66">
        <v>81.0</v>
      </c>
    </row>
    <row r="20" ht="15.75" customHeight="1">
      <c r="A20" s="66" t="s">
        <v>100</v>
      </c>
      <c r="B20" s="66">
        <v>65.0</v>
      </c>
    </row>
    <row r="21" ht="15.75" customHeight="1">
      <c r="A21" s="66" t="s">
        <v>102</v>
      </c>
      <c r="B21" s="66">
        <v>70.0</v>
      </c>
    </row>
    <row r="22" ht="15.75" customHeight="1">
      <c r="A22" s="66" t="s">
        <v>104</v>
      </c>
      <c r="B22" s="66">
        <v>33.0</v>
      </c>
    </row>
    <row r="23" ht="15.75" customHeight="1">
      <c r="A23" s="66" t="s">
        <v>106</v>
      </c>
      <c r="B23" s="66">
        <v>11.0</v>
      </c>
    </row>
    <row r="24" ht="15.75" customHeight="1">
      <c r="A24" s="66" t="s">
        <v>4</v>
      </c>
      <c r="B24" s="66">
        <v>58.0</v>
      </c>
    </row>
    <row r="25" ht="15.75" customHeight="1">
      <c r="A25" s="66" t="s">
        <v>109</v>
      </c>
      <c r="B25" s="66">
        <v>79.0</v>
      </c>
    </row>
    <row r="26" ht="15.75" customHeight="1">
      <c r="A26" s="66" t="s">
        <v>111</v>
      </c>
      <c r="B26" s="66">
        <v>45.0</v>
      </c>
    </row>
    <row r="27" ht="15.75" customHeight="1">
      <c r="A27" s="66" t="s">
        <v>113</v>
      </c>
      <c r="B27" s="66">
        <v>20.0</v>
      </c>
    </row>
    <row r="28" ht="15.75" customHeight="1">
      <c r="A28" s="66" t="s">
        <v>115</v>
      </c>
      <c r="B28" s="66">
        <v>30.0</v>
      </c>
    </row>
    <row r="29" ht="15.75" customHeight="1">
      <c r="A29" s="66" t="s">
        <v>117</v>
      </c>
      <c r="B29" s="66">
        <v>30.0</v>
      </c>
    </row>
    <row r="30" ht="15.75" customHeight="1">
      <c r="A30" s="66" t="s">
        <v>162</v>
      </c>
      <c r="B30" s="66">
        <v>52.0</v>
      </c>
    </row>
    <row r="31" ht="15.75" customHeight="1">
      <c r="A31" s="66" t="s">
        <v>171</v>
      </c>
      <c r="B31" s="66">
        <v>0.0</v>
      </c>
    </row>
    <row r="32" ht="15.75" customHeight="1">
      <c r="A32" s="66" t="s">
        <v>163</v>
      </c>
      <c r="B32" s="66">
        <v>30.0</v>
      </c>
    </row>
    <row r="33" ht="15.75" customHeight="1">
      <c r="A33" s="67" t="s">
        <v>172</v>
      </c>
      <c r="B33" s="66"/>
    </row>
    <row r="34" ht="15.75" customHeight="1">
      <c r="A34" s="66" t="s">
        <v>16</v>
      </c>
      <c r="B34" s="66">
        <v>28.0</v>
      </c>
    </row>
    <row r="35" ht="15.75" customHeight="1">
      <c r="A35" s="66" t="s">
        <v>12</v>
      </c>
      <c r="B35" s="66">
        <v>34.0</v>
      </c>
    </row>
    <row r="36" ht="15.75" customHeight="1">
      <c r="A36" s="66" t="s">
        <v>24</v>
      </c>
      <c r="B36" s="66">
        <v>72.0</v>
      </c>
    </row>
    <row r="37" ht="15.75" customHeight="1">
      <c r="A37" s="66" t="s">
        <v>65</v>
      </c>
      <c r="B37" s="66">
        <v>55.0</v>
      </c>
    </row>
    <row r="38" ht="15.75" customHeight="1">
      <c r="A38" s="66" t="s">
        <v>73</v>
      </c>
      <c r="B38" s="66">
        <v>26.0</v>
      </c>
    </row>
    <row r="39" ht="15.75" customHeight="1">
      <c r="A39" s="66" t="s">
        <v>57</v>
      </c>
      <c r="B39" s="66">
        <v>70.0</v>
      </c>
    </row>
    <row r="40" ht="15.75" customHeight="1">
      <c r="A40" s="66" t="s">
        <v>69</v>
      </c>
      <c r="B40" s="66">
        <v>44.0</v>
      </c>
    </row>
    <row r="41" ht="15.75" customHeight="1">
      <c r="A41" s="66" t="s">
        <v>30</v>
      </c>
      <c r="B41" s="66">
        <v>21.0</v>
      </c>
    </row>
    <row r="42" ht="15.75" customHeight="1">
      <c r="A42" s="66" t="s">
        <v>52</v>
      </c>
      <c r="B42" s="66">
        <v>39.0</v>
      </c>
    </row>
    <row r="43" ht="15.75" customHeight="1">
      <c r="A43" s="66" t="s">
        <v>41</v>
      </c>
      <c r="B43" s="66">
        <v>52.0</v>
      </c>
    </row>
    <row r="44" ht="15.75" customHeight="1">
      <c r="A44" s="66" t="s">
        <v>46</v>
      </c>
      <c r="B44" s="66">
        <v>33.0</v>
      </c>
    </row>
    <row r="45" ht="15.75" customHeight="1">
      <c r="A45" s="66" t="s">
        <v>61</v>
      </c>
      <c r="B45" s="66">
        <v>69.0</v>
      </c>
    </row>
    <row r="46" ht="15.75" customHeight="1">
      <c r="A46" s="66" t="s">
        <v>79</v>
      </c>
      <c r="B46" s="66">
        <v>21.0</v>
      </c>
    </row>
    <row r="47" ht="15.75" customHeight="1">
      <c r="A47" s="66" t="s">
        <v>36</v>
      </c>
      <c r="B47" s="66">
        <v>75.0</v>
      </c>
    </row>
    <row r="48" ht="15.75" customHeight="1">
      <c r="A48" s="67" t="s">
        <v>173</v>
      </c>
      <c r="B48" s="66"/>
    </row>
    <row r="49" ht="15.75" customHeight="1">
      <c r="A49" s="66" t="s">
        <v>47</v>
      </c>
      <c r="B49" s="66">
        <v>17.0</v>
      </c>
    </row>
    <row r="50" ht="15.75" customHeight="1">
      <c r="A50" s="66" t="s">
        <v>123</v>
      </c>
      <c r="B50" s="66">
        <v>81.0</v>
      </c>
    </row>
    <row r="51" ht="15.75" customHeight="1">
      <c r="A51" s="66" t="s">
        <v>58</v>
      </c>
      <c r="B51" s="66">
        <v>28.0</v>
      </c>
    </row>
    <row r="52" ht="15.75" customHeight="1">
      <c r="A52" s="66" t="s">
        <v>74</v>
      </c>
      <c r="B52" s="66">
        <v>27.0</v>
      </c>
    </row>
    <row r="53" ht="15.75" customHeight="1">
      <c r="A53" s="66" t="s">
        <v>42</v>
      </c>
      <c r="B53" s="66">
        <v>42.0</v>
      </c>
    </row>
    <row r="54" ht="15.75" customHeight="1">
      <c r="A54" s="66" t="s">
        <v>31</v>
      </c>
      <c r="B54" s="66">
        <v>38.0</v>
      </c>
    </row>
    <row r="55" ht="15.75" customHeight="1">
      <c r="A55" s="66" t="s">
        <v>25</v>
      </c>
      <c r="B55" s="66">
        <v>26.0</v>
      </c>
    </row>
    <row r="56" ht="15.75" customHeight="1">
      <c r="A56" s="66" t="s">
        <v>53</v>
      </c>
      <c r="B56" s="66">
        <v>20.0</v>
      </c>
    </row>
    <row r="57" ht="15.75" customHeight="1">
      <c r="A57" s="66" t="s">
        <v>17</v>
      </c>
      <c r="B57" s="66">
        <v>4.0</v>
      </c>
    </row>
    <row r="58" ht="15.75" customHeight="1">
      <c r="A58" s="66" t="s">
        <v>70</v>
      </c>
      <c r="B58" s="66">
        <v>28.0</v>
      </c>
    </row>
    <row r="59" ht="15.75" customHeight="1">
      <c r="A59" s="66" t="s">
        <v>37</v>
      </c>
      <c r="B59" s="66">
        <v>15.0</v>
      </c>
    </row>
    <row r="60" ht="15.75" customHeight="1">
      <c r="A60" s="66" t="s">
        <v>13</v>
      </c>
      <c r="B60" s="66">
        <v>26.0</v>
      </c>
    </row>
    <row r="61" ht="15.75" customHeight="1">
      <c r="A61" s="66" t="s">
        <v>66</v>
      </c>
      <c r="B61" s="66">
        <v>21.0</v>
      </c>
    </row>
    <row r="62" ht="15.75" customHeight="1">
      <c r="A62" s="66" t="s">
        <v>62</v>
      </c>
      <c r="B62" s="66">
        <v>24.0</v>
      </c>
    </row>
    <row r="63" ht="15.75" customHeight="1">
      <c r="A63" s="67" t="s">
        <v>174</v>
      </c>
      <c r="B63" s="66"/>
    </row>
    <row r="64" ht="15.75" customHeight="1">
      <c r="A64" s="66" t="s">
        <v>48</v>
      </c>
      <c r="B64" s="66">
        <v>6.0</v>
      </c>
    </row>
    <row r="65" ht="15.75" customHeight="1">
      <c r="A65" s="66" t="s">
        <v>71</v>
      </c>
      <c r="B65" s="66">
        <v>4.0</v>
      </c>
    </row>
    <row r="66" ht="15.75" customHeight="1">
      <c r="A66" s="66" t="s">
        <v>14</v>
      </c>
      <c r="B66" s="66">
        <v>3.0</v>
      </c>
    </row>
    <row r="67" ht="15.75" customHeight="1">
      <c r="A67" s="66" t="s">
        <v>18</v>
      </c>
      <c r="B67" s="66">
        <v>6.0</v>
      </c>
    </row>
    <row r="68" ht="15.75" customHeight="1">
      <c r="A68" s="66" t="s">
        <v>54</v>
      </c>
      <c r="B68" s="66">
        <v>6.0</v>
      </c>
    </row>
    <row r="69" ht="15.75" customHeight="1">
      <c r="A69" s="66" t="s">
        <v>43</v>
      </c>
      <c r="B69" s="66">
        <v>1.0</v>
      </c>
    </row>
    <row r="70" ht="15.75" customHeight="1">
      <c r="A70" s="66" t="s">
        <v>67</v>
      </c>
      <c r="B70" s="66">
        <v>5.0</v>
      </c>
    </row>
    <row r="71" ht="15.75" customHeight="1">
      <c r="A71" s="66" t="s">
        <v>26</v>
      </c>
      <c r="B71" s="66">
        <v>10.0</v>
      </c>
    </row>
    <row r="72" ht="15.75" customHeight="1">
      <c r="A72" s="66" t="s">
        <v>63</v>
      </c>
      <c r="B72" s="66">
        <v>12.0</v>
      </c>
    </row>
    <row r="73" ht="15.75" customHeight="1">
      <c r="A73" s="66" t="s">
        <v>59</v>
      </c>
      <c r="B73" s="66">
        <v>3.0</v>
      </c>
    </row>
    <row r="74" ht="15.75" customHeight="1">
      <c r="A74" s="66" t="s">
        <v>148</v>
      </c>
      <c r="B74" s="66">
        <v>0.0</v>
      </c>
    </row>
    <row r="75" ht="15.75" customHeight="1">
      <c r="A75" s="66" t="s">
        <v>38</v>
      </c>
      <c r="B75" s="66">
        <v>0.0</v>
      </c>
    </row>
    <row r="76" ht="15.75" customHeight="1">
      <c r="A76" s="66" t="s">
        <v>32</v>
      </c>
      <c r="B76" s="66">
        <v>0.0</v>
      </c>
    </row>
    <row r="77" ht="15.75" customHeight="1">
      <c r="A77" s="66" t="s">
        <v>152</v>
      </c>
      <c r="B77" s="66">
        <v>0.0</v>
      </c>
    </row>
    <row r="78" ht="15.75" customHeight="1">
      <c r="A78" s="67" t="s">
        <v>175</v>
      </c>
      <c r="B78" s="66"/>
    </row>
    <row r="79" ht="15.75" customHeight="1">
      <c r="A79" s="66" t="s">
        <v>95</v>
      </c>
      <c r="B79" s="66">
        <v>0.0</v>
      </c>
    </row>
    <row r="80" ht="15.75" customHeight="1">
      <c r="A80" s="66" t="s">
        <v>97</v>
      </c>
      <c r="B80" s="66">
        <v>0.0</v>
      </c>
    </row>
    <row r="81" ht="15.75" customHeight="1">
      <c r="A81" s="66" t="s">
        <v>99</v>
      </c>
      <c r="B81" s="66">
        <v>0.0</v>
      </c>
    </row>
    <row r="82" ht="15.75" customHeight="1">
      <c r="A82" s="66" t="s">
        <v>101</v>
      </c>
      <c r="B82" s="66">
        <v>0.0</v>
      </c>
    </row>
    <row r="83" ht="15.75" customHeight="1">
      <c r="A83" s="66" t="s">
        <v>103</v>
      </c>
      <c r="B83" s="66">
        <v>0.0</v>
      </c>
    </row>
    <row r="84" ht="15.75" customHeight="1">
      <c r="A84" s="66" t="s">
        <v>105</v>
      </c>
      <c r="B84" s="66">
        <v>0.0</v>
      </c>
    </row>
    <row r="85" ht="15.75" customHeight="1">
      <c r="A85" s="66" t="s">
        <v>107</v>
      </c>
      <c r="B85" s="66">
        <v>0.0</v>
      </c>
    </row>
    <row r="86" ht="15.75" customHeight="1">
      <c r="A86" s="66" t="s">
        <v>108</v>
      </c>
      <c r="B86" s="66">
        <v>0.0</v>
      </c>
    </row>
    <row r="87" ht="15.75" customHeight="1">
      <c r="A87" s="66" t="s">
        <v>110</v>
      </c>
      <c r="B87" s="66">
        <v>0.0</v>
      </c>
    </row>
    <row r="88" ht="15.75" customHeight="1">
      <c r="A88" s="66" t="s">
        <v>112</v>
      </c>
      <c r="B88" s="66">
        <v>0.0</v>
      </c>
    </row>
    <row r="89" ht="15.75" customHeight="1">
      <c r="A89" s="66" t="s">
        <v>114</v>
      </c>
      <c r="B89" s="66">
        <v>0.0</v>
      </c>
    </row>
    <row r="90" ht="15.75" customHeight="1">
      <c r="A90" s="66" t="s">
        <v>116</v>
      </c>
      <c r="B90" s="66">
        <v>0.0</v>
      </c>
    </row>
    <row r="91" ht="15.75" customHeight="1">
      <c r="A91" s="66" t="s">
        <v>118</v>
      </c>
      <c r="B91" s="66">
        <v>5.0</v>
      </c>
    </row>
    <row r="92" ht="15.75" customHeight="1">
      <c r="A92" s="66" t="s">
        <v>119</v>
      </c>
      <c r="B92" s="66">
        <v>0.0</v>
      </c>
    </row>
    <row r="93" ht="15.75" customHeight="1">
      <c r="A93" s="66" t="s">
        <v>120</v>
      </c>
      <c r="B93" s="66">
        <v>0.0</v>
      </c>
    </row>
    <row r="94" ht="15.75" customHeight="1">
      <c r="A94" s="66" t="s">
        <v>121</v>
      </c>
      <c r="B94" s="66">
        <v>0.0</v>
      </c>
    </row>
    <row r="95" ht="15.75" customHeight="1">
      <c r="A95" s="66" t="s">
        <v>122</v>
      </c>
      <c r="B95" s="66">
        <v>4.0</v>
      </c>
    </row>
    <row r="96" ht="15.75" customHeight="1">
      <c r="A96" s="66" t="s">
        <v>124</v>
      </c>
      <c r="B96" s="66">
        <v>0.0</v>
      </c>
    </row>
    <row r="97" ht="15.75" customHeight="1">
      <c r="A97" s="66" t="s">
        <v>125</v>
      </c>
      <c r="B97" s="66">
        <v>0.0</v>
      </c>
    </row>
    <row r="98" ht="15.75" customHeight="1">
      <c r="A98" s="66" t="s">
        <v>126</v>
      </c>
      <c r="B98" s="66">
        <v>0.0</v>
      </c>
    </row>
    <row r="99" ht="15.75" customHeight="1">
      <c r="A99" s="66" t="s">
        <v>127</v>
      </c>
      <c r="B99" s="66">
        <v>0.0</v>
      </c>
    </row>
    <row r="100" ht="15.75" customHeight="1">
      <c r="A100" s="66" t="s">
        <v>128</v>
      </c>
      <c r="B100" s="66">
        <v>0.0</v>
      </c>
    </row>
    <row r="101" ht="15.75" customHeight="1">
      <c r="A101" s="66" t="s">
        <v>129</v>
      </c>
      <c r="B101" s="66">
        <v>0.0</v>
      </c>
    </row>
    <row r="102" ht="15.75" customHeight="1">
      <c r="A102" s="66" t="s">
        <v>130</v>
      </c>
      <c r="B102" s="66">
        <v>0.0</v>
      </c>
    </row>
    <row r="103" ht="15.75" customHeight="1">
      <c r="A103" s="67" t="s">
        <v>176</v>
      </c>
      <c r="B103" s="66"/>
    </row>
    <row r="104" ht="15.75" customHeight="1">
      <c r="A104" s="66" t="s">
        <v>132</v>
      </c>
      <c r="B104" s="66">
        <v>0.0</v>
      </c>
    </row>
    <row r="105" ht="15.75" customHeight="1">
      <c r="A105" s="66" t="s">
        <v>133</v>
      </c>
      <c r="B105" s="66">
        <v>0.0</v>
      </c>
    </row>
    <row r="106" ht="15.75" customHeight="1">
      <c r="A106" s="66" t="s">
        <v>134</v>
      </c>
      <c r="B106" s="66">
        <v>0.0</v>
      </c>
    </row>
    <row r="107" ht="15.75" customHeight="1">
      <c r="A107" s="66" t="s">
        <v>135</v>
      </c>
      <c r="B107" s="66">
        <v>4.0</v>
      </c>
    </row>
    <row r="108" ht="15.75" customHeight="1">
      <c r="A108" s="66" t="s">
        <v>136</v>
      </c>
      <c r="B108" s="66">
        <v>0.0</v>
      </c>
    </row>
    <row r="109" ht="15.75" customHeight="1">
      <c r="A109" s="66" t="s">
        <v>137</v>
      </c>
      <c r="B109" s="66">
        <v>5.0</v>
      </c>
    </row>
    <row r="110" ht="15.75" customHeight="1">
      <c r="A110" s="66" t="s">
        <v>138</v>
      </c>
      <c r="B110" s="66">
        <v>0.0</v>
      </c>
    </row>
    <row r="111" ht="15.75" customHeight="1">
      <c r="A111" s="66" t="s">
        <v>139</v>
      </c>
      <c r="B111" s="66">
        <v>0.0</v>
      </c>
    </row>
    <row r="112" ht="15.75" customHeight="1">
      <c r="A112" s="66" t="s">
        <v>140</v>
      </c>
      <c r="B112" s="66">
        <v>0.0</v>
      </c>
    </row>
    <row r="113" ht="15.75" customHeight="1">
      <c r="A113" s="66" t="s">
        <v>141</v>
      </c>
      <c r="B113" s="66">
        <v>5.0</v>
      </c>
    </row>
    <row r="114" ht="15.75" customHeight="1">
      <c r="A114" s="66" t="s">
        <v>142</v>
      </c>
      <c r="B114" s="66">
        <v>0.0</v>
      </c>
    </row>
    <row r="115" ht="15.75" customHeight="1">
      <c r="A115" s="66" t="s">
        <v>143</v>
      </c>
      <c r="B115" s="66">
        <v>0.0</v>
      </c>
    </row>
    <row r="116" ht="15.75" customHeight="1">
      <c r="A116" s="66" t="s">
        <v>144</v>
      </c>
      <c r="B116" s="66">
        <v>0.0</v>
      </c>
    </row>
    <row r="117" ht="15.75" customHeight="1">
      <c r="A117" s="66" t="s">
        <v>145</v>
      </c>
      <c r="B117" s="66">
        <v>0.0</v>
      </c>
    </row>
    <row r="118" ht="15.75" customHeight="1">
      <c r="A118" s="66" t="s">
        <v>146</v>
      </c>
      <c r="B118" s="66">
        <v>0.0</v>
      </c>
    </row>
    <row r="119" ht="15.75" customHeight="1">
      <c r="A119" s="66" t="s">
        <v>147</v>
      </c>
      <c r="B119" s="66">
        <v>0.0</v>
      </c>
    </row>
    <row r="120" ht="15.75" customHeight="1">
      <c r="A120" s="66" t="s">
        <v>149</v>
      </c>
      <c r="B120" s="66">
        <v>0.0</v>
      </c>
    </row>
    <row r="121" ht="15.75" customHeight="1">
      <c r="A121" s="66" t="s">
        <v>150</v>
      </c>
      <c r="B121" s="66">
        <v>0.0</v>
      </c>
    </row>
    <row r="122" ht="15.75" customHeight="1">
      <c r="A122" s="66" t="s">
        <v>151</v>
      </c>
      <c r="B122" s="66">
        <v>4.0</v>
      </c>
    </row>
    <row r="123" ht="15.75" customHeight="1">
      <c r="A123" s="66" t="s">
        <v>153</v>
      </c>
      <c r="B123" s="66">
        <v>5.0</v>
      </c>
    </row>
    <row r="124" ht="15.75" customHeight="1">
      <c r="A124" s="66" t="s">
        <v>154</v>
      </c>
      <c r="B124" s="66">
        <v>0.0</v>
      </c>
    </row>
    <row r="125" ht="15.75" customHeight="1">
      <c r="A125" s="66" t="s">
        <v>155</v>
      </c>
      <c r="B125" s="66">
        <v>0.0</v>
      </c>
    </row>
    <row r="126" ht="15.75" customHeight="1">
      <c r="A126" s="66" t="s">
        <v>156</v>
      </c>
      <c r="B126" s="66">
        <v>0.0</v>
      </c>
    </row>
    <row r="127" ht="15.75" customHeight="1">
      <c r="A127" s="66" t="s">
        <v>157</v>
      </c>
      <c r="B127" s="66">
        <v>0.0</v>
      </c>
    </row>
    <row r="128" ht="15.75" customHeight="1">
      <c r="A128" s="66"/>
      <c r="B128" s="6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28"/>
  <drawing r:id="rId1"/>
</worksheet>
</file>